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409D3150-8A3E-46E1-A933-F2C40F10A3D8}" xr6:coauthVersionLast="43" xr6:coauthVersionMax="43" xr10:uidLastSave="{00000000-0000-0000-0000-000000000000}"/>
  <bookViews>
    <workbookView xWindow="-120" yWindow="-120" windowWidth="29040" windowHeight="15840" tabRatio="467" xr2:uid="{00000000-000D-0000-FFFF-FFFF00000000}"/>
  </bookViews>
  <sheets>
    <sheet name="Project Manager" sheetId="1" r:id="rId1"/>
    <sheet name="Project List" sheetId="2" r:id="rId2"/>
    <sheet name="Resources" sheetId="3" r:id="rId3"/>
    <sheet name="Project Resources" sheetId="4" r:id="rId4"/>
  </sheets>
  <definedNames>
    <definedName name="_xlnm._FilterDatabase" localSheetId="3" hidden="1">'Project Resources'!$A$2:$G$16</definedName>
    <definedName name="_xlnm.Criteria" localSheetId="3">'Project Resources'!$I$2:$J$3</definedName>
    <definedName name="_xlnm.Extract" localSheetId="3">'Project Resources'!$L$2:$R$2</definedName>
    <definedName name="Months">'Project Manager'!$A$19:$A$30</definedName>
    <definedName name="Proj_EndDate">OFFSET('Project List'!$K$3,1,,COUNTA('Project List'!$A$3:$A$999)-1,1)</definedName>
    <definedName name="Proj_Name">OFFSET('Project List'!$B$3,1,,COUNTA('Project List'!$A$3:$A$999)-1,1)</definedName>
    <definedName name="Proj_Numb">OFFSET('Project List'!$A$3,1,,COUNTA('Project List'!$A$3:$A$999)-1,1)</definedName>
    <definedName name="Proj_StartDate">OFFSET('Project List'!$D$3,1,,COUNTA('Project List'!$A$3:$A$999)-1,1)</definedName>
    <definedName name="ProjRes_EndDate">OFFSET('Project Resources'!$E$2,1,,COUNTA('Project Resources'!$A$2:$A$9974)-1,1)</definedName>
    <definedName name="ProjRes_ProjNumb">OFFSET('Project Resources'!$A$2,1,,COUNTA('Project Resources'!$A$2:$A$9974)-1,1)</definedName>
    <definedName name="ProjRes_ResNames">OFFSET('Project Resources'!$B$2,1,,COUNTA('Project Resources'!$A$2:$A$9974)-1,1)</definedName>
    <definedName name="ProjRes_StartDate">OFFSET('Project Resources'!$D$2,1,,COUNTA('Project Resources'!$A$2:$A$9974)-1,1)</definedName>
    <definedName name="Resource_Name">OFFSET(Resources!$A$2,1,,COUNTA(Resources!$A$2:$A$999)-1,1)</definedName>
    <definedName name="Years">'Project Manager'!$B$19:$B$30</definedName>
  </definedNames>
  <calcPr calcId="191029"/>
</workbook>
</file>

<file path=xl/calcChain.xml><?xml version="1.0" encoding="utf-8"?>
<calcChain xmlns="http://schemas.openxmlformats.org/spreadsheetml/2006/main">
  <c r="G16" i="4" l="1"/>
  <c r="F16" i="4"/>
  <c r="D16" i="4"/>
  <c r="C16" i="4"/>
  <c r="F15" i="4" l="1"/>
  <c r="C15" i="4"/>
  <c r="J14" i="2"/>
  <c r="K14" i="2" s="1"/>
  <c r="E15" i="4" s="1"/>
  <c r="G15" i="4"/>
  <c r="D15" i="4"/>
  <c r="G14" i="4"/>
  <c r="F14" i="4"/>
  <c r="D14" i="4"/>
  <c r="C14" i="4"/>
  <c r="G13" i="4"/>
  <c r="G12" i="4"/>
  <c r="F12" i="4"/>
  <c r="D12" i="4"/>
  <c r="C12" i="4"/>
  <c r="B6" i="1"/>
  <c r="B4" i="1"/>
  <c r="F13" i="4"/>
  <c r="D13" i="4"/>
  <c r="C13" i="4"/>
  <c r="J13" i="2"/>
  <c r="K13" i="2" s="1"/>
  <c r="E13" i="4" s="1"/>
  <c r="K4" i="2"/>
  <c r="E3" i="4" s="1"/>
  <c r="G11" i="4"/>
  <c r="F11" i="4"/>
  <c r="D11" i="4"/>
  <c r="C11" i="4"/>
  <c r="J12" i="2"/>
  <c r="K12" i="2" s="1"/>
  <c r="J11" i="2"/>
  <c r="K11" i="2" s="1"/>
  <c r="E8" i="4" s="1"/>
  <c r="J10" i="2"/>
  <c r="K10" i="2" s="1"/>
  <c r="E12" i="4" s="1"/>
  <c r="J9" i="2"/>
  <c r="K9" i="2" s="1"/>
  <c r="E9" i="4" s="1"/>
  <c r="J8" i="2"/>
  <c r="K8" i="2" s="1"/>
  <c r="J7" i="2"/>
  <c r="K7" i="2" s="1"/>
  <c r="K6" i="2"/>
  <c r="J6" i="2"/>
  <c r="J5" i="2"/>
  <c r="K5" i="2" s="1"/>
  <c r="J4" i="2"/>
  <c r="J1" i="2"/>
  <c r="D9" i="4"/>
  <c r="G10" i="4"/>
  <c r="F10" i="4"/>
  <c r="D10" i="4"/>
  <c r="C10" i="4"/>
  <c r="G9" i="4"/>
  <c r="F9" i="4"/>
  <c r="C9" i="4"/>
  <c r="G8" i="4"/>
  <c r="F8" i="4"/>
  <c r="D8" i="4"/>
  <c r="C8" i="4"/>
  <c r="G3" i="4"/>
  <c r="F3" i="4"/>
  <c r="D3" i="4"/>
  <c r="C3" i="4"/>
  <c r="G4" i="4"/>
  <c r="F4" i="4"/>
  <c r="D4" i="4"/>
  <c r="C4" i="4"/>
  <c r="E11" i="4" l="1"/>
  <c r="E16" i="4"/>
  <c r="E14" i="4"/>
  <c r="E10" i="4"/>
  <c r="G7" i="4"/>
  <c r="F7" i="4"/>
  <c r="D7" i="4"/>
  <c r="C7" i="4"/>
  <c r="C5" i="4"/>
  <c r="C6" i="4"/>
  <c r="G6" i="4"/>
  <c r="G5" i="4"/>
  <c r="P3" i="1"/>
  <c r="DL3" i="1" s="1"/>
  <c r="F5" i="4"/>
  <c r="F6" i="4"/>
  <c r="D5" i="4"/>
  <c r="D6" i="4"/>
  <c r="E6" i="4"/>
  <c r="K1" i="2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I3" i="4" l="1"/>
  <c r="J3" i="4"/>
  <c r="Q3" i="1"/>
  <c r="E4" i="4"/>
  <c r="E5" i="4"/>
  <c r="E7" i="4"/>
  <c r="DM3" i="1" l="1"/>
  <c r="R3" i="1"/>
  <c r="DN31" i="1" s="1"/>
  <c r="DL34" i="1"/>
  <c r="DM35" i="1"/>
  <c r="DL4" i="1"/>
  <c r="DM37" i="1"/>
  <c r="DL25" i="1"/>
  <c r="DL28" i="1"/>
  <c r="DM27" i="1"/>
  <c r="DM36" i="1"/>
  <c r="DL35" i="1"/>
  <c r="DL33" i="1"/>
  <c r="DM24" i="1"/>
  <c r="DM22" i="1"/>
  <c r="DL29" i="1"/>
  <c r="DM30" i="1"/>
  <c r="DL31" i="1"/>
  <c r="DM32" i="1"/>
  <c r="DM26" i="1"/>
  <c r="DL36" i="1"/>
  <c r="DL27" i="1"/>
  <c r="DM28" i="1"/>
  <c r="DN29" i="1"/>
  <c r="DL22" i="1"/>
  <c r="DM23" i="1"/>
  <c r="DL26" i="1"/>
  <c r="DL37" i="1"/>
  <c r="DM31" i="1"/>
  <c r="DL30" i="1"/>
  <c r="DN30" i="1"/>
  <c r="DM29" i="1"/>
  <c r="DM33" i="1"/>
  <c r="DL32" i="1"/>
  <c r="DM34" i="1"/>
  <c r="DL23" i="1"/>
  <c r="DL24" i="1"/>
  <c r="DN26" i="1"/>
  <c r="DM25" i="1"/>
  <c r="DM4" i="1"/>
  <c r="DL5" i="1"/>
  <c r="DM6" i="1"/>
  <c r="DL8" i="1"/>
  <c r="DM9" i="1"/>
  <c r="DL7" i="1"/>
  <c r="DM8" i="1"/>
  <c r="DN9" i="1"/>
  <c r="DL6" i="1"/>
  <c r="DM7" i="1"/>
  <c r="DN8" i="1"/>
  <c r="DM5" i="1"/>
  <c r="DN5" i="1"/>
  <c r="DL16" i="1"/>
  <c r="DM17" i="1"/>
  <c r="DL13" i="1"/>
  <c r="DM14" i="1"/>
  <c r="DN15" i="1"/>
  <c r="DL14" i="1"/>
  <c r="DM15" i="1"/>
  <c r="DL9" i="1"/>
  <c r="DM10" i="1"/>
  <c r="DL12" i="1"/>
  <c r="DM13" i="1"/>
  <c r="DN14" i="1"/>
  <c r="DL11" i="1"/>
  <c r="DM12" i="1"/>
  <c r="DN13" i="1"/>
  <c r="DL10" i="1"/>
  <c r="DM11" i="1"/>
  <c r="DN12" i="1"/>
  <c r="DN19" i="1"/>
  <c r="DM18" i="1"/>
  <c r="DL17" i="1"/>
  <c r="DN20" i="1"/>
  <c r="DM19" i="1"/>
  <c r="DL18" i="1"/>
  <c r="DM20" i="1"/>
  <c r="DL19" i="1"/>
  <c r="DL21" i="1"/>
  <c r="DL15" i="1"/>
  <c r="DM21" i="1"/>
  <c r="DL20" i="1"/>
  <c r="DN16" i="1"/>
  <c r="DM16" i="1"/>
  <c r="DN4" i="1"/>
  <c r="DN37" i="1" l="1"/>
  <c r="DN17" i="1"/>
  <c r="DN21" i="1"/>
  <c r="DN11" i="1"/>
  <c r="DN18" i="1"/>
  <c r="DN6" i="1"/>
  <c r="DN10" i="1"/>
  <c r="DN25" i="1"/>
  <c r="DN34" i="1"/>
  <c r="DN7" i="1"/>
  <c r="DN22" i="1"/>
  <c r="DN23" i="1"/>
  <c r="DN35" i="1"/>
  <c r="DN28" i="1"/>
  <c r="DN33" i="1"/>
  <c r="DN36" i="1"/>
  <c r="DN32" i="1"/>
  <c r="DN24" i="1"/>
  <c r="DN27" i="1"/>
  <c r="S3" i="1"/>
  <c r="DN3" i="1"/>
  <c r="T3" i="1" l="1"/>
  <c r="DO3" i="1"/>
  <c r="DO37" i="1"/>
  <c r="DO29" i="1"/>
  <c r="DO24" i="1"/>
  <c r="DO27" i="1"/>
  <c r="DO28" i="1"/>
  <c r="DO22" i="1"/>
  <c r="DO34" i="1"/>
  <c r="DO30" i="1"/>
  <c r="DO33" i="1"/>
  <c r="DO26" i="1"/>
  <c r="DO35" i="1"/>
  <c r="DO36" i="1"/>
  <c r="DO31" i="1"/>
  <c r="DO23" i="1"/>
  <c r="DO11" i="1"/>
  <c r="DO10" i="1"/>
  <c r="DO9" i="1"/>
  <c r="DO32" i="1"/>
  <c r="DO25" i="1"/>
  <c r="DO8" i="1"/>
  <c r="DO15" i="1"/>
  <c r="DO6" i="1"/>
  <c r="DO20" i="1"/>
  <c r="DO19" i="1"/>
  <c r="DO5" i="1"/>
  <c r="DO14" i="1"/>
  <c r="DO13" i="1"/>
  <c r="DO21" i="1"/>
  <c r="DO16" i="1"/>
  <c r="DO7" i="1"/>
  <c r="DO12" i="1"/>
  <c r="DO17" i="1"/>
  <c r="DO4" i="1"/>
  <c r="DO18" i="1"/>
  <c r="U3" i="1" l="1"/>
  <c r="DP3" i="1"/>
  <c r="DP36" i="1"/>
  <c r="DP35" i="1"/>
  <c r="DP31" i="1"/>
  <c r="DP33" i="1"/>
  <c r="DP30" i="1"/>
  <c r="DP37" i="1"/>
  <c r="DP25" i="1"/>
  <c r="DP28" i="1"/>
  <c r="DP29" i="1"/>
  <c r="DP22" i="1"/>
  <c r="DP26" i="1"/>
  <c r="DP24" i="1"/>
  <c r="DP12" i="1"/>
  <c r="DP11" i="1"/>
  <c r="DP10" i="1"/>
  <c r="DP32" i="1"/>
  <c r="DP9" i="1"/>
  <c r="DP8" i="1"/>
  <c r="DP7" i="1"/>
  <c r="DP34" i="1"/>
  <c r="DP5" i="1"/>
  <c r="DP23" i="1"/>
  <c r="DP27" i="1"/>
  <c r="DP14" i="1"/>
  <c r="DP16" i="1"/>
  <c r="DP13" i="1"/>
  <c r="DP15" i="1"/>
  <c r="DP18" i="1"/>
  <c r="DP21" i="1"/>
  <c r="DP6" i="1"/>
  <c r="DP4" i="1"/>
  <c r="DP19" i="1"/>
  <c r="DP20" i="1"/>
  <c r="DP17" i="1"/>
  <c r="V3" i="1" l="1"/>
  <c r="DQ3" i="1"/>
  <c r="DQ27" i="1"/>
  <c r="DQ36" i="1"/>
  <c r="DQ31" i="1"/>
  <c r="DQ29" i="1"/>
  <c r="DQ30" i="1"/>
  <c r="DQ24" i="1"/>
  <c r="DQ22" i="1"/>
  <c r="DQ37" i="1"/>
  <c r="DQ32" i="1"/>
  <c r="DQ34" i="1"/>
  <c r="DQ35" i="1"/>
  <c r="DQ33" i="1"/>
  <c r="DQ6" i="1"/>
  <c r="DQ23" i="1"/>
  <c r="DQ25" i="1"/>
  <c r="DQ28" i="1"/>
  <c r="DQ13" i="1"/>
  <c r="DQ12" i="1"/>
  <c r="DQ11" i="1"/>
  <c r="DQ26" i="1"/>
  <c r="DQ10" i="1"/>
  <c r="DQ9" i="1"/>
  <c r="DQ7" i="1"/>
  <c r="DQ21" i="1"/>
  <c r="DQ8" i="1"/>
  <c r="DQ15" i="1"/>
  <c r="DQ17" i="1"/>
  <c r="DQ18" i="1"/>
  <c r="DQ20" i="1"/>
  <c r="DQ5" i="1"/>
  <c r="DQ14" i="1"/>
  <c r="DQ16" i="1"/>
  <c r="DQ4" i="1"/>
  <c r="DQ19" i="1"/>
  <c r="W3" i="1" l="1"/>
  <c r="DR3" i="1"/>
  <c r="DR26" i="1"/>
  <c r="DR33" i="1"/>
  <c r="DR27" i="1"/>
  <c r="DR37" i="1"/>
  <c r="DR35" i="1"/>
  <c r="DR28" i="1"/>
  <c r="DR32" i="1"/>
  <c r="DR24" i="1"/>
  <c r="DR30" i="1"/>
  <c r="DR31" i="1"/>
  <c r="DR25" i="1"/>
  <c r="DR14" i="1"/>
  <c r="DR13" i="1"/>
  <c r="DR12" i="1"/>
  <c r="DR23" i="1"/>
  <c r="DR29" i="1"/>
  <c r="DR11" i="1"/>
  <c r="DR10" i="1"/>
  <c r="DR9" i="1"/>
  <c r="DR36" i="1"/>
  <c r="DR7" i="1"/>
  <c r="DR34" i="1"/>
  <c r="DR21" i="1"/>
  <c r="DR6" i="1"/>
  <c r="DR5" i="1"/>
  <c r="DR15" i="1"/>
  <c r="DR17" i="1"/>
  <c r="DR22" i="1"/>
  <c r="DR8" i="1"/>
  <c r="DR18" i="1"/>
  <c r="DR16" i="1"/>
  <c r="DR20" i="1"/>
  <c r="DR4" i="1"/>
  <c r="DR19" i="1"/>
  <c r="X3" i="1" l="1"/>
  <c r="DS3" i="1"/>
  <c r="DS33" i="1"/>
  <c r="DS31" i="1"/>
  <c r="DS32" i="1"/>
  <c r="DS24" i="1"/>
  <c r="DS29" i="1"/>
  <c r="DS22" i="1"/>
  <c r="DS28" i="1"/>
  <c r="DS26" i="1"/>
  <c r="DS30" i="1"/>
  <c r="DS25" i="1"/>
  <c r="DS8" i="1"/>
  <c r="DS36" i="1"/>
  <c r="DS37" i="1"/>
  <c r="DS34" i="1"/>
  <c r="DS35" i="1"/>
  <c r="DS14" i="1"/>
  <c r="DS13" i="1"/>
  <c r="DS27" i="1"/>
  <c r="DS12" i="1"/>
  <c r="DS10" i="1"/>
  <c r="DS9" i="1"/>
  <c r="DS15" i="1"/>
  <c r="DS17" i="1"/>
  <c r="DS19" i="1"/>
  <c r="DS20" i="1"/>
  <c r="DS11" i="1"/>
  <c r="DS7" i="1"/>
  <c r="DS6" i="1"/>
  <c r="DS5" i="1"/>
  <c r="DS18" i="1"/>
  <c r="DS4" i="1"/>
  <c r="DS21" i="1"/>
  <c r="DS23" i="1"/>
  <c r="DS16" i="1"/>
  <c r="Y3" i="1" l="1"/>
  <c r="DT3" i="1"/>
  <c r="DT30" i="1"/>
  <c r="DT23" i="1"/>
  <c r="DT29" i="1"/>
  <c r="DT36" i="1"/>
  <c r="DT22" i="1"/>
  <c r="DT37" i="1"/>
  <c r="DT34" i="1"/>
  <c r="DT32" i="1"/>
  <c r="DT26" i="1"/>
  <c r="DT33" i="1"/>
  <c r="DT28" i="1"/>
  <c r="DT27" i="1"/>
  <c r="DT14" i="1"/>
  <c r="DT13" i="1"/>
  <c r="DT12" i="1"/>
  <c r="DT25" i="1"/>
  <c r="DT35" i="1"/>
  <c r="DT9" i="1"/>
  <c r="DT31" i="1"/>
  <c r="DT24" i="1"/>
  <c r="DT11" i="1"/>
  <c r="DT10" i="1"/>
  <c r="DT8" i="1"/>
  <c r="DT7" i="1"/>
  <c r="DT6" i="1"/>
  <c r="DT16" i="1"/>
  <c r="DT15" i="1"/>
  <c r="DT17" i="1"/>
  <c r="DT19" i="1"/>
  <c r="DT18" i="1"/>
  <c r="DT5" i="1"/>
  <c r="DT20" i="1"/>
  <c r="DT4" i="1"/>
  <c r="DT21" i="1"/>
  <c r="Z3" i="1" l="1"/>
  <c r="DU3" i="1"/>
  <c r="DU36" i="1"/>
  <c r="DU35" i="1"/>
  <c r="DU33" i="1"/>
  <c r="DU34" i="1"/>
  <c r="DU31" i="1"/>
  <c r="DU24" i="1"/>
  <c r="DU22" i="1"/>
  <c r="DU10" i="1"/>
  <c r="DU23" i="1"/>
  <c r="DU29" i="1"/>
  <c r="DU30" i="1"/>
  <c r="DU26" i="1"/>
  <c r="DU27" i="1"/>
  <c r="DU32" i="1"/>
  <c r="DU25" i="1"/>
  <c r="DU15" i="1"/>
  <c r="DU37" i="1"/>
  <c r="DU28" i="1"/>
  <c r="DU14" i="1"/>
  <c r="DU6" i="1"/>
  <c r="DU19" i="1"/>
  <c r="DU13" i="1"/>
  <c r="DU21" i="1"/>
  <c r="DU12" i="1"/>
  <c r="DU11" i="1"/>
  <c r="DU9" i="1"/>
  <c r="DU8" i="1"/>
  <c r="DU7" i="1"/>
  <c r="DU5" i="1"/>
  <c r="DU17" i="1"/>
  <c r="DU16" i="1"/>
  <c r="DU18" i="1"/>
  <c r="DU20" i="1"/>
  <c r="DU4" i="1"/>
  <c r="AA3" i="1" l="1"/>
  <c r="DV3" i="1"/>
  <c r="DV22" i="1"/>
  <c r="DV25" i="1"/>
  <c r="DV31" i="1"/>
  <c r="DV24" i="1"/>
  <c r="DV26" i="1"/>
  <c r="DV37" i="1"/>
  <c r="DV27" i="1"/>
  <c r="DV32" i="1"/>
  <c r="DV36" i="1"/>
  <c r="DV34" i="1"/>
  <c r="DV35" i="1"/>
  <c r="DV28" i="1"/>
  <c r="DV23" i="1"/>
  <c r="DV33" i="1"/>
  <c r="DV15" i="1"/>
  <c r="DV30" i="1"/>
  <c r="DV29" i="1"/>
  <c r="DV11" i="1"/>
  <c r="DV13" i="1"/>
  <c r="DV12" i="1"/>
  <c r="DV14" i="1"/>
  <c r="DV10" i="1"/>
  <c r="DV9" i="1"/>
  <c r="DV8" i="1"/>
  <c r="DV6" i="1"/>
  <c r="DV5" i="1"/>
  <c r="DV18" i="1"/>
  <c r="DV17" i="1"/>
  <c r="DV19" i="1"/>
  <c r="DV20" i="1"/>
  <c r="DV7" i="1"/>
  <c r="DV16" i="1"/>
  <c r="DV21" i="1"/>
  <c r="DV4" i="1"/>
  <c r="AB3" i="1" l="1"/>
  <c r="DW3" i="1"/>
  <c r="DW26" i="1"/>
  <c r="DW35" i="1"/>
  <c r="DW36" i="1"/>
  <c r="DW22" i="1"/>
  <c r="DW33" i="1"/>
  <c r="DW34" i="1"/>
  <c r="DW32" i="1"/>
  <c r="DW12" i="1"/>
  <c r="DW15" i="1"/>
  <c r="DW30" i="1"/>
  <c r="DW25" i="1"/>
  <c r="DW24" i="1"/>
  <c r="DW27" i="1"/>
  <c r="DW37" i="1"/>
  <c r="DW28" i="1"/>
  <c r="DW29" i="1"/>
  <c r="DW23" i="1"/>
  <c r="DW31" i="1"/>
  <c r="DW8" i="1"/>
  <c r="DW17" i="1"/>
  <c r="DW13" i="1"/>
  <c r="DW21" i="1"/>
  <c r="DW11" i="1"/>
  <c r="DW10" i="1"/>
  <c r="DW9" i="1"/>
  <c r="DW7" i="1"/>
  <c r="DW6" i="1"/>
  <c r="DW5" i="1"/>
  <c r="DW18" i="1"/>
  <c r="DW14" i="1"/>
  <c r="DW4" i="1"/>
  <c r="DW16" i="1"/>
  <c r="DW20" i="1"/>
  <c r="DW19" i="1"/>
  <c r="AC3" i="1" l="1"/>
  <c r="DX3" i="1"/>
  <c r="DX34" i="1"/>
  <c r="DX27" i="1"/>
  <c r="DX33" i="1"/>
  <c r="DX29" i="1"/>
  <c r="DX22" i="1"/>
  <c r="DX37" i="1"/>
  <c r="DX23" i="1"/>
  <c r="DX32" i="1"/>
  <c r="DX36" i="1"/>
  <c r="DX31" i="1"/>
  <c r="DX30" i="1"/>
  <c r="DX26" i="1"/>
  <c r="DX16" i="1"/>
  <c r="DX13" i="1"/>
  <c r="DX24" i="1"/>
  <c r="DX25" i="1"/>
  <c r="DX28" i="1"/>
  <c r="DX35" i="1"/>
  <c r="DX12" i="1"/>
  <c r="DX11" i="1"/>
  <c r="DX10" i="1"/>
  <c r="DX8" i="1"/>
  <c r="DX7" i="1"/>
  <c r="DX6" i="1"/>
  <c r="DX17" i="1"/>
  <c r="DX19" i="1"/>
  <c r="DX21" i="1"/>
  <c r="DX20" i="1"/>
  <c r="DX9" i="1"/>
  <c r="DX5" i="1"/>
  <c r="DX18" i="1"/>
  <c r="DX14" i="1"/>
  <c r="DX4" i="1"/>
  <c r="DX15" i="1"/>
  <c r="AD3" i="1" l="1"/>
  <c r="DY3" i="1"/>
  <c r="DY35" i="1"/>
  <c r="DY29" i="1"/>
  <c r="DY25" i="1"/>
  <c r="DY23" i="1"/>
  <c r="DY24" i="1"/>
  <c r="DY37" i="1"/>
  <c r="DY22" i="1"/>
  <c r="DY36" i="1"/>
  <c r="DY28" i="1"/>
  <c r="DY14" i="1"/>
  <c r="DY33" i="1"/>
  <c r="DY26" i="1"/>
  <c r="DY30" i="1"/>
  <c r="DY31" i="1"/>
  <c r="DY34" i="1"/>
  <c r="DY27" i="1"/>
  <c r="DY32" i="1"/>
  <c r="DY5" i="1"/>
  <c r="DY17" i="1"/>
  <c r="DY10" i="1"/>
  <c r="DY6" i="1"/>
  <c r="DY19" i="1"/>
  <c r="DY15" i="1"/>
  <c r="DY13" i="1"/>
  <c r="DY12" i="1"/>
  <c r="DY11" i="1"/>
  <c r="DY9" i="1"/>
  <c r="DY8" i="1"/>
  <c r="DY7" i="1"/>
  <c r="DY18" i="1"/>
  <c r="DY16" i="1"/>
  <c r="DY21" i="1"/>
  <c r="DY4" i="1"/>
  <c r="DY20" i="1"/>
  <c r="AE3" i="1" l="1"/>
  <c r="DZ3" i="1"/>
  <c r="DZ31" i="1"/>
  <c r="DZ37" i="1"/>
  <c r="DZ32" i="1"/>
  <c r="DZ29" i="1"/>
  <c r="DZ35" i="1"/>
  <c r="DZ22" i="1"/>
  <c r="DZ36" i="1"/>
  <c r="DZ27" i="1"/>
  <c r="DZ24" i="1"/>
  <c r="DZ25" i="1"/>
  <c r="DZ30" i="1"/>
  <c r="DZ26" i="1"/>
  <c r="DZ28" i="1"/>
  <c r="DZ6" i="1"/>
  <c r="DZ5" i="1"/>
  <c r="DZ18" i="1"/>
  <c r="DZ34" i="1"/>
  <c r="DZ33" i="1"/>
  <c r="DZ15" i="1"/>
  <c r="DZ23" i="1"/>
  <c r="DZ13" i="1"/>
  <c r="DZ12" i="1"/>
  <c r="DZ10" i="1"/>
  <c r="DZ9" i="1"/>
  <c r="DZ8" i="1"/>
  <c r="DZ17" i="1"/>
  <c r="DZ19" i="1"/>
  <c r="DZ20" i="1"/>
  <c r="DZ11" i="1"/>
  <c r="DZ7" i="1"/>
  <c r="DZ16" i="1"/>
  <c r="DZ21" i="1"/>
  <c r="DZ4" i="1"/>
  <c r="DZ14" i="1"/>
  <c r="AF3" i="1" l="1"/>
  <c r="EA3" i="1"/>
  <c r="EA33" i="1"/>
  <c r="EA24" i="1"/>
  <c r="EA28" i="1"/>
  <c r="EA25" i="1"/>
  <c r="EA22" i="1"/>
  <c r="EA26" i="1"/>
  <c r="EA27" i="1"/>
  <c r="EA34" i="1"/>
  <c r="EA31" i="1"/>
  <c r="EA30" i="1"/>
  <c r="EA37" i="1"/>
  <c r="EA32" i="1"/>
  <c r="EA23" i="1"/>
  <c r="EA36" i="1"/>
  <c r="EA35" i="1"/>
  <c r="EA29" i="1"/>
  <c r="EA7" i="1"/>
  <c r="EA6" i="1"/>
  <c r="EA5" i="1"/>
  <c r="EA12" i="1"/>
  <c r="EA8" i="1"/>
  <c r="EA17" i="1"/>
  <c r="EA19" i="1"/>
  <c r="EA21" i="1"/>
  <c r="EA13" i="1"/>
  <c r="EA11" i="1"/>
  <c r="EA10" i="1"/>
  <c r="EA9" i="1"/>
  <c r="EA16" i="1"/>
  <c r="EA15" i="1"/>
  <c r="EA18" i="1"/>
  <c r="EA14" i="1"/>
  <c r="EA4" i="1"/>
  <c r="EA20" i="1"/>
  <c r="AG3" i="1" l="1"/>
  <c r="EB3" i="1"/>
  <c r="EB35" i="1"/>
  <c r="EB31" i="1"/>
  <c r="EB22" i="1"/>
  <c r="EB37" i="1"/>
  <c r="EB33" i="1"/>
  <c r="EB32" i="1"/>
  <c r="EB26" i="1"/>
  <c r="EB34" i="1"/>
  <c r="EB29" i="1"/>
  <c r="EB23" i="1"/>
  <c r="EB24" i="1"/>
  <c r="EB30" i="1"/>
  <c r="EB8" i="1"/>
  <c r="EB7" i="1"/>
  <c r="EB6" i="1"/>
  <c r="EB25" i="1"/>
  <c r="EB5" i="1"/>
  <c r="EB27" i="1"/>
  <c r="EB36" i="1"/>
  <c r="EB28" i="1"/>
  <c r="EB15" i="1"/>
  <c r="EB14" i="1"/>
  <c r="EB12" i="1"/>
  <c r="EB11" i="1"/>
  <c r="EB10" i="1"/>
  <c r="EB17" i="1"/>
  <c r="EB19" i="1"/>
  <c r="EB21" i="1"/>
  <c r="EB13" i="1"/>
  <c r="EB9" i="1"/>
  <c r="EB18" i="1"/>
  <c r="EB20" i="1"/>
  <c r="EB16" i="1"/>
  <c r="EB4" i="1"/>
  <c r="AH3" i="1" l="1"/>
  <c r="EC3" i="1"/>
  <c r="EC24" i="1"/>
  <c r="EC27" i="1"/>
  <c r="EC36" i="1"/>
  <c r="EC29" i="1"/>
  <c r="EC33" i="1"/>
  <c r="EC30" i="1"/>
  <c r="EC37" i="1"/>
  <c r="EC35" i="1"/>
  <c r="EC22" i="1"/>
  <c r="EC32" i="1"/>
  <c r="EC23" i="1"/>
  <c r="EC6" i="1"/>
  <c r="EC5" i="1"/>
  <c r="EC17" i="1"/>
  <c r="EC28" i="1"/>
  <c r="EC26" i="1"/>
  <c r="EC25" i="1"/>
  <c r="EC31" i="1"/>
  <c r="EC34" i="1"/>
  <c r="EC9" i="1"/>
  <c r="EC8" i="1"/>
  <c r="EC7" i="1"/>
  <c r="EC14" i="1"/>
  <c r="EC10" i="1"/>
  <c r="EC19" i="1"/>
  <c r="EC15" i="1"/>
  <c r="EC21" i="1"/>
  <c r="EC16" i="1"/>
  <c r="EC13" i="1"/>
  <c r="EC12" i="1"/>
  <c r="EC11" i="1"/>
  <c r="EC18" i="1"/>
  <c r="EC20" i="1"/>
  <c r="EC4" i="1"/>
  <c r="AI3" i="1" l="1"/>
  <c r="ED3" i="1"/>
  <c r="ED26" i="1"/>
  <c r="ED30" i="1"/>
  <c r="ED37" i="1"/>
  <c r="ED36" i="1"/>
  <c r="ED33" i="1"/>
  <c r="ED24" i="1"/>
  <c r="ED35" i="1"/>
  <c r="ED28" i="1"/>
  <c r="ED31" i="1"/>
  <c r="ED27" i="1"/>
  <c r="ED23" i="1"/>
  <c r="ED32" i="1"/>
  <c r="ED10" i="1"/>
  <c r="ED9" i="1"/>
  <c r="ED8" i="1"/>
  <c r="ED7" i="1"/>
  <c r="ED34" i="1"/>
  <c r="ED29" i="1"/>
  <c r="ED25" i="1"/>
  <c r="ED22" i="1"/>
  <c r="ED21" i="1"/>
  <c r="ED13" i="1"/>
  <c r="ED12" i="1"/>
  <c r="ED19" i="1"/>
  <c r="ED6" i="1"/>
  <c r="ED18" i="1"/>
  <c r="ED15" i="1"/>
  <c r="ED11" i="1"/>
  <c r="ED20" i="1"/>
  <c r="ED5" i="1"/>
  <c r="ED14" i="1"/>
  <c r="ED17" i="1"/>
  <c r="ED16" i="1"/>
  <c r="ED4" i="1"/>
  <c r="AJ3" i="1" l="1"/>
  <c r="EE3" i="1"/>
  <c r="EE31" i="1"/>
  <c r="EE37" i="1"/>
  <c r="EE29" i="1"/>
  <c r="EE32" i="1"/>
  <c r="EE26" i="1"/>
  <c r="EE24" i="1"/>
  <c r="EE27" i="1"/>
  <c r="EE35" i="1"/>
  <c r="EE22" i="1"/>
  <c r="EE34" i="1"/>
  <c r="EE25" i="1"/>
  <c r="EE23" i="1"/>
  <c r="EE30" i="1"/>
  <c r="EE8" i="1"/>
  <c r="EE7" i="1"/>
  <c r="EE6" i="1"/>
  <c r="EE5" i="1"/>
  <c r="EE28" i="1"/>
  <c r="EE36" i="1"/>
  <c r="EE33" i="1"/>
  <c r="EE11" i="1"/>
  <c r="EE10" i="1"/>
  <c r="EE9" i="1"/>
  <c r="EE12" i="1"/>
  <c r="EE19" i="1"/>
  <c r="EE14" i="1"/>
  <c r="EE16" i="1"/>
  <c r="EE18" i="1"/>
  <c r="EE21" i="1"/>
  <c r="EE17" i="1"/>
  <c r="EE13" i="1"/>
  <c r="EE20" i="1"/>
  <c r="EE15" i="1"/>
  <c r="EE4" i="1"/>
  <c r="AK3" i="1" l="1"/>
  <c r="EF3" i="1"/>
  <c r="EF22" i="1"/>
  <c r="EF35" i="1"/>
  <c r="EF36" i="1"/>
  <c r="EF27" i="1"/>
  <c r="EF23" i="1"/>
  <c r="EF37" i="1"/>
  <c r="EF26" i="1"/>
  <c r="EF32" i="1"/>
  <c r="EF30" i="1"/>
  <c r="EF33" i="1"/>
  <c r="EF24" i="1"/>
  <c r="EF31" i="1"/>
  <c r="EF34" i="1"/>
  <c r="EF12" i="1"/>
  <c r="EF11" i="1"/>
  <c r="EF10" i="1"/>
  <c r="EF25" i="1"/>
  <c r="EF29" i="1"/>
  <c r="EF9" i="1"/>
  <c r="EF28" i="1"/>
  <c r="EF5" i="1"/>
  <c r="EF8" i="1"/>
  <c r="EF6" i="1"/>
  <c r="EF15" i="1"/>
  <c r="EF7" i="1"/>
  <c r="EF14" i="1"/>
  <c r="EF21" i="1"/>
  <c r="EF13" i="1"/>
  <c r="EF20" i="1"/>
  <c r="EF19" i="1"/>
  <c r="EF17" i="1"/>
  <c r="EF4" i="1"/>
  <c r="EF18" i="1"/>
  <c r="EF16" i="1"/>
  <c r="AL3" i="1" l="1"/>
  <c r="EG3" i="1"/>
  <c r="EG27" i="1"/>
  <c r="EG33" i="1"/>
  <c r="EG31" i="1"/>
  <c r="EG34" i="1"/>
  <c r="EG29" i="1"/>
  <c r="EG24" i="1"/>
  <c r="EG22" i="1"/>
  <c r="EG25" i="1"/>
  <c r="EG10" i="1"/>
  <c r="EG9" i="1"/>
  <c r="EG8" i="1"/>
  <c r="EG7" i="1"/>
  <c r="EG26" i="1"/>
  <c r="EG36" i="1"/>
  <c r="EG6" i="1"/>
  <c r="EG28" i="1"/>
  <c r="EG32" i="1"/>
  <c r="EG37" i="1"/>
  <c r="EG23" i="1"/>
  <c r="EG30" i="1"/>
  <c r="EG35" i="1"/>
  <c r="EG13" i="1"/>
  <c r="EG12" i="1"/>
  <c r="EG11" i="1"/>
  <c r="EG5" i="1"/>
  <c r="EG14" i="1"/>
  <c r="EG15" i="1"/>
  <c r="EG21" i="1"/>
  <c r="EG18" i="1"/>
  <c r="EG20" i="1"/>
  <c r="EG17" i="1"/>
  <c r="EG16" i="1"/>
  <c r="EG19" i="1"/>
  <c r="EG4" i="1"/>
  <c r="AM3" i="1" l="1"/>
  <c r="EH3" i="1"/>
  <c r="EH34" i="1"/>
  <c r="EH28" i="1"/>
  <c r="EH25" i="1"/>
  <c r="EH23" i="1"/>
  <c r="EH26" i="1"/>
  <c r="EH24" i="1"/>
  <c r="EH32" i="1"/>
  <c r="EH37" i="1"/>
  <c r="EH33" i="1"/>
  <c r="EH29" i="1"/>
  <c r="EH35" i="1"/>
  <c r="EH30" i="1"/>
  <c r="EH31" i="1"/>
  <c r="EH36" i="1"/>
  <c r="EH13" i="1"/>
  <c r="EH12" i="1"/>
  <c r="EH27" i="1"/>
  <c r="EH11" i="1"/>
  <c r="EH7" i="1"/>
  <c r="EH14" i="1"/>
  <c r="EH17" i="1"/>
  <c r="EH22" i="1"/>
  <c r="EH16" i="1"/>
  <c r="EH10" i="1"/>
  <c r="EH6" i="1"/>
  <c r="EH5" i="1"/>
  <c r="EH15" i="1"/>
  <c r="EH9" i="1"/>
  <c r="EH8" i="1"/>
  <c r="EH20" i="1"/>
  <c r="EH19" i="1"/>
  <c r="EH18" i="1"/>
  <c r="EH21" i="1"/>
  <c r="EH4" i="1"/>
  <c r="AN3" i="1" l="1"/>
  <c r="EI3" i="1"/>
  <c r="EI33" i="1"/>
  <c r="EI35" i="1"/>
  <c r="EI26" i="1"/>
  <c r="EI36" i="1"/>
  <c r="EI30" i="1"/>
  <c r="EI31" i="1"/>
  <c r="EI29" i="1"/>
  <c r="EI24" i="1"/>
  <c r="EI27" i="1"/>
  <c r="EI23" i="1"/>
  <c r="EI12" i="1"/>
  <c r="EI11" i="1"/>
  <c r="EI10" i="1"/>
  <c r="EI9" i="1"/>
  <c r="EI22" i="1"/>
  <c r="EI32" i="1"/>
  <c r="EI25" i="1"/>
  <c r="EI8" i="1"/>
  <c r="EI28" i="1"/>
  <c r="EI37" i="1"/>
  <c r="EI34" i="1"/>
  <c r="EI13" i="1"/>
  <c r="EI7" i="1"/>
  <c r="EI6" i="1"/>
  <c r="EI5" i="1"/>
  <c r="EI19" i="1"/>
  <c r="EI15" i="1"/>
  <c r="EI14" i="1"/>
  <c r="EI20" i="1"/>
  <c r="EI16" i="1"/>
  <c r="EI18" i="1"/>
  <c r="EI21" i="1"/>
  <c r="EI17" i="1"/>
  <c r="EI4" i="1"/>
  <c r="AO3" i="1" l="1"/>
  <c r="EJ3" i="1"/>
  <c r="EJ30" i="1"/>
  <c r="EJ36" i="1"/>
  <c r="EJ31" i="1"/>
  <c r="EJ25" i="1"/>
  <c r="EJ28" i="1"/>
  <c r="EJ37" i="1"/>
  <c r="EJ34" i="1"/>
  <c r="EJ23" i="1"/>
  <c r="EJ27" i="1"/>
  <c r="EJ22" i="1"/>
  <c r="EJ29" i="1"/>
  <c r="EJ5" i="1"/>
  <c r="EJ32" i="1"/>
  <c r="EJ35" i="1"/>
  <c r="EJ14" i="1"/>
  <c r="EJ33" i="1"/>
  <c r="EJ13" i="1"/>
  <c r="EJ26" i="1"/>
  <c r="EJ24" i="1"/>
  <c r="EJ9" i="1"/>
  <c r="EJ12" i="1"/>
  <c r="EJ17" i="1"/>
  <c r="EJ19" i="1"/>
  <c r="EJ18" i="1"/>
  <c r="EJ11" i="1"/>
  <c r="EJ10" i="1"/>
  <c r="EJ8" i="1"/>
  <c r="EJ7" i="1"/>
  <c r="EJ6" i="1"/>
  <c r="EJ16" i="1"/>
  <c r="EJ20" i="1"/>
  <c r="EJ15" i="1"/>
  <c r="EJ21" i="1"/>
  <c r="EJ4" i="1"/>
  <c r="AP3" i="1" l="1"/>
  <c r="EK3" i="1"/>
  <c r="EK36" i="1"/>
  <c r="EK37" i="1"/>
  <c r="EK35" i="1"/>
  <c r="EK23" i="1"/>
  <c r="EK22" i="1"/>
  <c r="EK31" i="1"/>
  <c r="EK33" i="1"/>
  <c r="EK28" i="1"/>
  <c r="EK29" i="1"/>
  <c r="EK14" i="1"/>
  <c r="EK13" i="1"/>
  <c r="EK12" i="1"/>
  <c r="EK11" i="1"/>
  <c r="EK32" i="1"/>
  <c r="EK27" i="1"/>
  <c r="EK25" i="1"/>
  <c r="EK10" i="1"/>
  <c r="EK24" i="1"/>
  <c r="EK30" i="1"/>
  <c r="EK26" i="1"/>
  <c r="EK34" i="1"/>
  <c r="EK9" i="1"/>
  <c r="EK8" i="1"/>
  <c r="EK7" i="1"/>
  <c r="EK5" i="1"/>
  <c r="EK17" i="1"/>
  <c r="EK21" i="1"/>
  <c r="EK15" i="1"/>
  <c r="EK6" i="1"/>
  <c r="EK16" i="1"/>
  <c r="EK18" i="1"/>
  <c r="EK20" i="1"/>
  <c r="EK19" i="1"/>
  <c r="EK4" i="1"/>
  <c r="AQ3" i="1" l="1"/>
  <c r="AR3" i="1" s="1"/>
  <c r="AS3" i="1" s="1"/>
  <c r="AT3" i="1" s="1"/>
  <c r="EL3" i="1"/>
  <c r="EL33" i="1"/>
  <c r="EL32" i="1"/>
  <c r="EL37" i="1"/>
  <c r="EL30" i="1"/>
  <c r="EL29" i="1"/>
  <c r="EL36" i="1"/>
  <c r="EL25" i="1"/>
  <c r="EL24" i="1"/>
  <c r="EL23" i="1"/>
  <c r="EL35" i="1"/>
  <c r="EL26" i="1"/>
  <c r="EL27" i="1"/>
  <c r="EL34" i="1"/>
  <c r="EL22" i="1"/>
  <c r="EL15" i="1"/>
  <c r="EL31" i="1"/>
  <c r="EL28" i="1"/>
  <c r="EL11" i="1"/>
  <c r="EL17" i="1"/>
  <c r="EL19" i="1"/>
  <c r="EL13" i="1"/>
  <c r="EL12" i="1"/>
  <c r="EL16" i="1"/>
  <c r="EL10" i="1"/>
  <c r="EL9" i="1"/>
  <c r="EL8" i="1"/>
  <c r="EL6" i="1"/>
  <c r="EL5" i="1"/>
  <c r="EL18" i="1"/>
  <c r="EL20" i="1"/>
  <c r="EL7" i="1"/>
  <c r="EL14" i="1"/>
  <c r="EL21" i="1"/>
  <c r="EL4" i="1"/>
  <c r="EM3" i="1" l="1"/>
  <c r="EM33" i="1"/>
  <c r="EM30" i="1"/>
  <c r="EM24" i="1"/>
  <c r="EM27" i="1"/>
  <c r="EM35" i="1"/>
  <c r="EM37" i="1"/>
  <c r="EM28" i="1"/>
  <c r="EM25" i="1"/>
  <c r="EM31" i="1"/>
  <c r="EM34" i="1"/>
  <c r="EM15" i="1"/>
  <c r="EM13" i="1"/>
  <c r="EM36" i="1"/>
  <c r="EM22" i="1"/>
  <c r="EM32" i="1"/>
  <c r="EM29" i="1"/>
  <c r="EM23" i="1"/>
  <c r="EM12" i="1"/>
  <c r="EM26" i="1"/>
  <c r="EM11" i="1"/>
  <c r="EM10" i="1"/>
  <c r="EM9" i="1"/>
  <c r="EM7" i="1"/>
  <c r="EM6" i="1"/>
  <c r="EM5" i="1"/>
  <c r="EM8" i="1"/>
  <c r="EM14" i="1"/>
  <c r="EM21" i="1"/>
  <c r="EM16" i="1"/>
  <c r="EM18" i="1"/>
  <c r="EM20" i="1"/>
  <c r="EM17" i="1"/>
  <c r="EM19" i="1"/>
  <c r="EM4" i="1"/>
  <c r="EN3" i="1" l="1"/>
  <c r="EN32" i="1"/>
  <c r="EN31" i="1"/>
  <c r="EN36" i="1"/>
  <c r="EN27" i="1"/>
  <c r="EN34" i="1"/>
  <c r="EN28" i="1"/>
  <c r="EN26" i="1"/>
  <c r="EN25" i="1"/>
  <c r="EN29" i="1"/>
  <c r="EN24" i="1"/>
  <c r="EN23" i="1"/>
  <c r="EN33" i="1"/>
  <c r="EN37" i="1"/>
  <c r="EN35" i="1"/>
  <c r="EN16" i="1"/>
  <c r="EN22" i="1"/>
  <c r="EN30" i="1"/>
  <c r="EN13" i="1"/>
  <c r="EN14" i="1"/>
  <c r="EN15" i="1"/>
  <c r="EN17" i="1"/>
  <c r="EN19" i="1"/>
  <c r="EN21" i="1"/>
  <c r="EN18" i="1"/>
  <c r="EN12" i="1"/>
  <c r="EN11" i="1"/>
  <c r="EN10" i="1"/>
  <c r="EN8" i="1"/>
  <c r="EN7" i="1"/>
  <c r="EN6" i="1"/>
  <c r="EN9" i="1"/>
  <c r="EN5" i="1"/>
  <c r="EN4" i="1"/>
  <c r="EN20" i="1"/>
  <c r="EO3" i="1" l="1"/>
  <c r="EO31" i="1"/>
  <c r="EO22" i="1"/>
  <c r="EO35" i="1"/>
  <c r="EO32" i="1"/>
  <c r="EO36" i="1"/>
  <c r="EO30" i="1"/>
  <c r="EO26" i="1"/>
  <c r="EO23" i="1"/>
  <c r="EO37" i="1"/>
  <c r="EO33" i="1"/>
  <c r="EO28" i="1"/>
  <c r="EO34" i="1"/>
  <c r="EO5" i="1"/>
  <c r="EO17" i="1"/>
  <c r="EO25" i="1"/>
  <c r="EO14" i="1"/>
  <c r="EO27" i="1"/>
  <c r="EO29" i="1"/>
  <c r="EO24" i="1"/>
  <c r="EO13" i="1"/>
  <c r="EO12" i="1"/>
  <c r="EO11" i="1"/>
  <c r="EO9" i="1"/>
  <c r="EO8" i="1"/>
  <c r="EO7" i="1"/>
  <c r="EO10" i="1"/>
  <c r="EO6" i="1"/>
  <c r="EO16" i="1"/>
  <c r="EO18" i="1"/>
  <c r="EO15" i="1"/>
  <c r="EO21" i="1"/>
  <c r="EO4" i="1"/>
  <c r="EO20" i="1"/>
  <c r="EO19" i="1"/>
  <c r="EP3" i="1" l="1"/>
  <c r="EP36" i="1"/>
  <c r="EP34" i="1"/>
  <c r="EP32" i="1"/>
  <c r="EP29" i="1"/>
  <c r="EP25" i="1"/>
  <c r="EP22" i="1"/>
  <c r="EP24" i="1"/>
  <c r="EP28" i="1"/>
  <c r="EP23" i="1"/>
  <c r="EP33" i="1"/>
  <c r="EP35" i="1"/>
  <c r="EP37" i="1"/>
  <c r="EP26" i="1"/>
  <c r="EP30" i="1"/>
  <c r="EP6" i="1"/>
  <c r="EP5" i="1"/>
  <c r="EP27" i="1"/>
  <c r="EP31" i="1"/>
  <c r="EP15" i="1"/>
  <c r="EP17" i="1"/>
  <c r="EP19" i="1"/>
  <c r="EP14" i="1"/>
  <c r="EP16" i="1"/>
  <c r="EP20" i="1"/>
  <c r="EP18" i="1"/>
  <c r="EP21" i="1"/>
  <c r="EP13" i="1"/>
  <c r="EP12" i="1"/>
  <c r="EP10" i="1"/>
  <c r="EP9" i="1"/>
  <c r="EP8" i="1"/>
  <c r="EP11" i="1"/>
  <c r="EP7" i="1"/>
  <c r="EP4" i="1"/>
</calcChain>
</file>

<file path=xl/sharedStrings.xml><?xml version="1.0" encoding="utf-8"?>
<sst xmlns="http://schemas.openxmlformats.org/spreadsheetml/2006/main" count="210" uniqueCount="115">
  <si>
    <t>PROJECT MANAGER PT. 1</t>
  </si>
  <si>
    <t>Project Name:</t>
  </si>
  <si>
    <t>Project Type:</t>
  </si>
  <si>
    <t>Start Date:</t>
  </si>
  <si>
    <t>End Date</t>
  </si>
  <si>
    <t>Status:</t>
  </si>
  <si>
    <t>Completed On:</t>
  </si>
  <si>
    <t>January</t>
  </si>
  <si>
    <t>Filter Projects By</t>
  </si>
  <si>
    <t>Status</t>
  </si>
  <si>
    <t>Unassigned</t>
  </si>
  <si>
    <t>Unassigned Projects</t>
  </si>
  <si>
    <t>Project Description:</t>
  </si>
  <si>
    <t>Type</t>
  </si>
  <si>
    <t>Assigned To (Resource)</t>
  </si>
  <si>
    <t>Resource List</t>
  </si>
  <si>
    <t>Name</t>
  </si>
  <si>
    <t>Fred Fredders</t>
  </si>
  <si>
    <t>Sally Smith</t>
  </si>
  <si>
    <t>Lisa Leslie</t>
  </si>
  <si>
    <t>David Davidson</t>
  </si>
  <si>
    <t>Mark Mathers</t>
  </si>
  <si>
    <t>Duration:</t>
  </si>
  <si>
    <t>Days</t>
  </si>
  <si>
    <t>Proj. Load</t>
  </si>
  <si>
    <t>Project #:</t>
  </si>
  <si>
    <t>Project #</t>
  </si>
  <si>
    <t>Start Date</t>
  </si>
  <si>
    <t>Completed On</t>
  </si>
  <si>
    <t>Assigned Project Resources</t>
  </si>
  <si>
    <t>Proj. #</t>
  </si>
  <si>
    <t>Resource Name</t>
  </si>
  <si>
    <t>New Proj.</t>
  </si>
  <si>
    <t>Proj. Row</t>
  </si>
  <si>
    <t>Dur. Type</t>
  </si>
  <si>
    <t>Dur. Days</t>
  </si>
  <si>
    <t>Dur. #</t>
  </si>
  <si>
    <t>Description</t>
  </si>
  <si>
    <t>Preview</t>
  </si>
  <si>
    <t>Project Attachments</t>
  </si>
  <si>
    <t>Select. Month</t>
  </si>
  <si>
    <t xml:space="preserve"> </t>
  </si>
  <si>
    <t>Data Mapping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</si>
  <si>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</si>
  <si>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</si>
  <si>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</si>
  <si>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</si>
  <si>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</si>
  <si>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</si>
  <si>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</si>
  <si>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</si>
  <si>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</si>
  <si>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</si>
  <si>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</si>
  <si>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</si>
  <si>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Years</t>
  </si>
  <si>
    <t>File Name</t>
  </si>
  <si>
    <t>File Location</t>
  </si>
  <si>
    <t>Project List</t>
  </si>
  <si>
    <t>Next Proj. #</t>
  </si>
  <si>
    <t>E4</t>
  </si>
  <si>
    <t>Proj. Type</t>
  </si>
  <si>
    <t>E6</t>
  </si>
  <si>
    <t>E8</t>
  </si>
  <si>
    <t>E10</t>
  </si>
  <si>
    <t>E12</t>
  </si>
  <si>
    <t>D15</t>
  </si>
  <si>
    <t>I14</t>
  </si>
  <si>
    <t>Test Proj. 1</t>
  </si>
  <si>
    <t>Any Type</t>
  </si>
  <si>
    <t>Weeks</t>
  </si>
  <si>
    <t>Row</t>
  </si>
  <si>
    <t>Filter Criteria</t>
  </si>
  <si>
    <t>Filter Results</t>
  </si>
  <si>
    <t>Test Description</t>
  </si>
  <si>
    <t>Assigned To</t>
  </si>
  <si>
    <t>Test Project 2</t>
  </si>
  <si>
    <t>Test Description 2</t>
  </si>
  <si>
    <t>Fix Website</t>
  </si>
  <si>
    <t>Website Work</t>
  </si>
  <si>
    <t>Website Fix 2</t>
  </si>
  <si>
    <t>Website</t>
  </si>
  <si>
    <t>Pending</t>
  </si>
  <si>
    <t>Testing Website Desc</t>
  </si>
  <si>
    <t>H14</t>
  </si>
  <si>
    <t>Res. Row</t>
  </si>
  <si>
    <t>Proj. Name</t>
  </si>
  <si>
    <t>I4</t>
  </si>
  <si>
    <t>Peter Rabbit</t>
  </si>
  <si>
    <t>Charlie Brown</t>
  </si>
  <si>
    <t>Lucy Lee</t>
  </si>
  <si>
    <t>Daniel Damon</t>
  </si>
  <si>
    <t>George Risen</t>
  </si>
  <si>
    <t>Parker Sams</t>
  </si>
  <si>
    <t>Site Redesign</t>
  </si>
  <si>
    <t>Project Type</t>
  </si>
  <si>
    <t>Logo Design</t>
  </si>
  <si>
    <t>Wesite Build</t>
  </si>
  <si>
    <t>Site Build</t>
  </si>
  <si>
    <t>Assigned</t>
  </si>
  <si>
    <t>Rebuild Webiste</t>
  </si>
  <si>
    <t>Site Speed Up</t>
  </si>
  <si>
    <t>Site Speed</t>
  </si>
  <si>
    <t>Bug Fix Issues</t>
  </si>
  <si>
    <t>Bug Fixing</t>
  </si>
  <si>
    <t>Lots of bug fixes</t>
  </si>
  <si>
    <t>New Site &amp; Design</t>
  </si>
  <si>
    <t>Website Design</t>
  </si>
  <si>
    <t>Site Testing</t>
  </si>
  <si>
    <t>Testing</t>
  </si>
  <si>
    <t>Fred Smith</t>
  </si>
  <si>
    <t>New Website</t>
  </si>
  <si>
    <t>New Site</t>
  </si>
  <si>
    <t>This a test</t>
  </si>
  <si>
    <t>Website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</si>
</sst>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Cambria"/>
      <family val="1"/>
      <scheme val="major"/>
    </font>
    <font>
      <b/>
      <sz val="30"/>
      <color theme="1"/>
      <name val="Cambria"/>
      <family val="1"/>
      <scheme val="major"/>
    </font>
    <font>
      <sz val="11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30"/>
      <color theme="4" tint="-0.249977111117893"/>
      <name val="Cambria"/>
      <family val="1"/>
      <scheme val="major"/>
    </font>
    <font>
      <b/>
      <sz val="26"/>
      <color theme="8" tint="-0.499984740745262"/>
      <name val="Cambria"/>
      <family val="1"/>
      <scheme val="major"/>
    </font>
    <font>
      <b/>
      <sz val="11"/>
      <color theme="8" tint="-0.499984740745262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0070C0"/>
      <name val="Cambria"/>
      <family val="1"/>
      <scheme val="major"/>
    </font>
    <font>
      <sz val="11"/>
      <color theme="4" tint="0.79998168889431442"/>
      <name val="Calibri"/>
      <family val="2"/>
      <scheme val="minor"/>
    </font>
    <font>
      <b/>
      <sz val="18"/>
      <color rgb="FF0070C0"/>
      <name val="Cambria"/>
      <family val="1"/>
      <scheme val="major"/>
    </font>
    <font>
      <b/>
      <sz val="11"/>
      <color rgb="FF0070C0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270">
        <stop position="0">
          <color theme="4" tint="0.40000610370189521"/>
        </stop>
        <stop position="1">
          <color theme="3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270">
        <stop position="0">
          <color theme="4" tint="0.59999389629810485"/>
        </stop>
        <stop position="1">
          <color theme="3" tint="0.40000610370189521"/>
        </stop>
      </gradient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270">
        <stop position="0">
          <color theme="4" tint="0.80001220740379042"/>
        </stop>
        <stop position="1">
          <color theme="4" tint="0.59999389629810485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rgb="FFAAC2E0"/>
        </stop>
        <stop position="1">
          <color theme="4" tint="0.59999389629810485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</fills>
  <borders count="64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hair">
        <color rgb="FF0070C0"/>
      </bottom>
      <diagonal/>
    </border>
    <border>
      <left style="thin">
        <color rgb="FF0070C0"/>
      </left>
      <right/>
      <top style="thin">
        <color rgb="FF0070C0"/>
      </top>
      <bottom style="hair">
        <color rgb="FF0070C0"/>
      </bottom>
      <diagonal/>
    </border>
    <border>
      <left/>
      <right style="thin">
        <color rgb="FF0070C0"/>
      </right>
      <top style="thin">
        <color rgb="FF0070C0"/>
      </top>
      <bottom style="hair">
        <color rgb="FF0070C0"/>
      </bottom>
      <diagonal/>
    </border>
    <border>
      <left style="medium">
        <color theme="8" tint="-0.499984740745262"/>
      </left>
      <right style="hair">
        <color theme="8" tint="-0.24994659260841701"/>
      </right>
      <top style="medium">
        <color theme="8" tint="-0.499984740745262"/>
      </top>
      <bottom/>
      <diagonal/>
    </border>
    <border>
      <left style="hair">
        <color theme="8" tint="-0.24994659260841701"/>
      </left>
      <right style="hair">
        <color theme="8" tint="-0.24994659260841701"/>
      </right>
      <top style="medium">
        <color theme="8" tint="-0.499984740745262"/>
      </top>
      <bottom/>
      <diagonal/>
    </border>
    <border>
      <left style="hair">
        <color theme="8" tint="-0.24994659260841701"/>
      </left>
      <right style="medium">
        <color theme="8" tint="-0.499984740745262"/>
      </right>
      <top style="medium">
        <color theme="8" tint="-0.499984740745262"/>
      </top>
      <bottom/>
      <diagonal/>
    </border>
    <border>
      <left style="medium">
        <color theme="8" tint="-0.499984740745262"/>
      </left>
      <right style="hair">
        <color theme="8" tint="-0.24994659260841701"/>
      </right>
      <top/>
      <bottom/>
      <diagonal/>
    </border>
    <border>
      <left style="hair">
        <color theme="8" tint="-0.24994659260841701"/>
      </left>
      <right style="hair">
        <color theme="8" tint="-0.24994659260841701"/>
      </right>
      <top/>
      <bottom/>
      <diagonal/>
    </border>
    <border>
      <left style="hair">
        <color theme="8" tint="-0.24994659260841701"/>
      </left>
      <right style="medium">
        <color theme="8" tint="-0.499984740745262"/>
      </right>
      <top/>
      <bottom/>
      <diagonal/>
    </border>
    <border>
      <left style="medium">
        <color theme="8" tint="-0.499984740745262"/>
      </left>
      <right style="hair">
        <color theme="8" tint="-0.24994659260841701"/>
      </right>
      <top/>
      <bottom style="medium">
        <color theme="8" tint="-0.499984740745262"/>
      </bottom>
      <diagonal/>
    </border>
    <border>
      <left style="hair">
        <color theme="8" tint="-0.24994659260841701"/>
      </left>
      <right style="hair">
        <color theme="8" tint="-0.24994659260841701"/>
      </right>
      <top/>
      <bottom style="medium">
        <color theme="8" tint="-0.499984740745262"/>
      </bottom>
      <diagonal/>
    </border>
    <border>
      <left style="hair">
        <color theme="8" tint="-0.24994659260841701"/>
      </left>
      <right style="medium">
        <color theme="8" tint="-0.499984740745262"/>
      </right>
      <top/>
      <bottom style="medium">
        <color theme="8" tint="-0.499984740745262"/>
      </bottom>
      <diagonal/>
    </border>
    <border>
      <left style="medium">
        <color theme="8" tint="-0.499984740745262"/>
      </left>
      <right style="thin">
        <color theme="8" tint="-0.499984740745262"/>
      </right>
      <top style="medium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medium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thin">
        <color theme="8" tint="-0.499984740745262"/>
      </bottom>
      <diagonal/>
    </border>
    <border>
      <left style="medium">
        <color theme="8" tint="-0.499984740745262"/>
      </left>
      <right style="thin">
        <color theme="8" tint="-0.499984740745262"/>
      </right>
      <top style="thin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medium">
        <color theme="8" tint="-0.499984740745262"/>
      </right>
      <top style="thin">
        <color theme="8" tint="-0.499984740745262"/>
      </top>
      <bottom style="medium">
        <color theme="8" tint="-0.499984740745262"/>
      </bottom>
      <diagonal/>
    </border>
    <border>
      <left/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theme="5" tint="-0.499984740745262"/>
      </left>
      <right style="hair">
        <color theme="5" tint="-0.24994659260841701"/>
      </right>
      <top/>
      <bottom/>
      <diagonal/>
    </border>
    <border>
      <left style="hair">
        <color theme="5" tint="-0.24994659260841701"/>
      </left>
      <right style="hair">
        <color theme="5" tint="-0.24994659260841701"/>
      </right>
      <top/>
      <bottom/>
      <diagonal/>
    </border>
    <border>
      <left style="hair">
        <color theme="5" tint="-0.24994659260841701"/>
      </left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 style="thin">
        <color theme="5" tint="-0.499984740745262"/>
      </right>
      <top style="medium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 style="medium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 style="medium">
        <color theme="5" tint="-0.499984740745262"/>
      </right>
      <top style="medium">
        <color theme="5" tint="-0.499984740745262"/>
      </top>
      <bottom style="thin">
        <color theme="5" tint="-0.499984740745262"/>
      </bottom>
      <diagonal/>
    </border>
    <border>
      <left style="medium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 style="medium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medium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medium">
        <color theme="5" tint="-0.24994659260841701"/>
      </left>
      <right style="thin">
        <color theme="5" tint="-0.24994659260841701"/>
      </right>
      <top style="medium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medium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thin">
        <color theme="5" tint="-0.24994659260841701"/>
      </bottom>
      <diagonal/>
    </border>
    <border>
      <left style="medium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medium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medium">
        <color theme="5" tint="-0.24994659260841701"/>
      </bottom>
      <diagonal/>
    </border>
    <border>
      <left style="thin">
        <color theme="5" tint="-0.24994659260841701"/>
      </left>
      <right style="medium">
        <color theme="5" tint="-0.24994659260841701"/>
      </right>
      <top style="thin">
        <color theme="5" tint="-0.24994659260841701"/>
      </top>
      <bottom style="medium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hair">
        <color rgb="FF0070C0"/>
      </top>
      <bottom style="thin">
        <color rgb="FF0070C0"/>
      </bottom>
      <diagonal/>
    </border>
    <border>
      <left style="medium">
        <color theme="6" tint="-0.499984740745262"/>
      </left>
      <right style="thin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medium">
        <color theme="6" tint="-0.499984740745262"/>
      </right>
      <top style="thin">
        <color theme="6" tint="-0.499984740745262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4" fillId="2" borderId="0" xfId="0" applyFont="1" applyFill="1"/>
    <xf numFmtId="0" fontId="4" fillId="2" borderId="1" xfId="0" applyFont="1" applyFill="1" applyBorder="1"/>
    <xf numFmtId="0" fontId="3" fillId="4" borderId="0" xfId="0" applyFont="1" applyFill="1" applyAlignment="1"/>
    <xf numFmtId="0" fontId="4" fillId="7" borderId="2" xfId="0" applyFont="1" applyFill="1" applyBorder="1"/>
    <xf numFmtId="0" fontId="5" fillId="4" borderId="0" xfId="0" applyFont="1" applyFill="1" applyAlignment="1"/>
    <xf numFmtId="0" fontId="0" fillId="5" borderId="4" xfId="0" applyFill="1" applyBorder="1" applyAlignment="1"/>
    <xf numFmtId="0" fontId="4" fillId="7" borderId="5" xfId="0" applyFont="1" applyFill="1" applyBorder="1"/>
    <xf numFmtId="0" fontId="0" fillId="0" borderId="2" xfId="0" applyBorder="1"/>
    <xf numFmtId="0" fontId="0" fillId="6" borderId="0" xfId="0" applyFill="1" applyAlignment="1">
      <alignment horizontal="center" wrapText="1"/>
    </xf>
    <xf numFmtId="0" fontId="4" fillId="7" borderId="3" xfId="0" applyFont="1" applyFill="1" applyBorder="1"/>
    <xf numFmtId="0" fontId="4" fillId="2" borderId="3" xfId="0" applyFont="1" applyFill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0" fontId="4" fillId="2" borderId="0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/>
    </xf>
    <xf numFmtId="0" fontId="0" fillId="5" borderId="0" xfId="0" applyFill="1" applyBorder="1" applyAlignment="1"/>
    <xf numFmtId="0" fontId="0" fillId="6" borderId="0" xfId="0" applyFill="1" applyBorder="1" applyAlignment="1">
      <alignment horizontal="center"/>
    </xf>
    <xf numFmtId="0" fontId="4" fillId="2" borderId="18" xfId="0" applyFont="1" applyFill="1" applyBorder="1" applyAlignment="1"/>
    <xf numFmtId="0" fontId="4" fillId="2" borderId="19" xfId="0" applyFont="1" applyFill="1" applyBorder="1" applyAlignment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8" fillId="13" borderId="32" xfId="0" applyFont="1" applyFill="1" applyBorder="1" applyAlignment="1">
      <alignment horizontal="center"/>
    </xf>
    <xf numFmtId="0" fontId="8" fillId="13" borderId="33" xfId="0" applyFont="1" applyFill="1" applyBorder="1" applyAlignment="1">
      <alignment horizontal="center"/>
    </xf>
    <xf numFmtId="0" fontId="8" fillId="13" borderId="3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2" borderId="3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right"/>
    </xf>
    <xf numFmtId="0" fontId="0" fillId="0" borderId="37" xfId="0" applyBorder="1"/>
    <xf numFmtId="0" fontId="0" fillId="15" borderId="42" xfId="0" applyFill="1" applyBorder="1" applyAlignment="1">
      <alignment horizontal="center"/>
    </xf>
    <xf numFmtId="0" fontId="0" fillId="15" borderId="43" xfId="0" applyFill="1" applyBorder="1" applyAlignment="1">
      <alignment horizontal="center"/>
    </xf>
    <xf numFmtId="0" fontId="0" fillId="15" borderId="44" xfId="0" applyFill="1" applyBorder="1" applyAlignment="1">
      <alignment horizontal="center"/>
    </xf>
    <xf numFmtId="0" fontId="4" fillId="7" borderId="6" xfId="0" applyFont="1" applyFill="1" applyBorder="1" applyAlignment="1">
      <alignment vertical="top"/>
    </xf>
    <xf numFmtId="0" fontId="4" fillId="7" borderId="0" xfId="0" applyFont="1" applyFill="1" applyBorder="1" applyAlignment="1">
      <alignment vertical="top"/>
    </xf>
    <xf numFmtId="0" fontId="4" fillId="7" borderId="12" xfId="0" applyFont="1" applyFill="1" applyBorder="1" applyAlignment="1">
      <alignment vertical="top"/>
    </xf>
    <xf numFmtId="0" fontId="4" fillId="7" borderId="13" xfId="0" applyFont="1" applyFill="1" applyBorder="1" applyAlignment="1">
      <alignment vertical="top"/>
    </xf>
    <xf numFmtId="0" fontId="4" fillId="7" borderId="14" xfId="0" applyFont="1" applyFill="1" applyBorder="1" applyAlignment="1">
      <alignment vertical="top"/>
    </xf>
    <xf numFmtId="0" fontId="4" fillId="7" borderId="15" xfId="0" applyFont="1" applyFill="1" applyBorder="1" applyAlignment="1">
      <alignment vertical="top"/>
    </xf>
    <xf numFmtId="0" fontId="4" fillId="7" borderId="4" xfId="0" applyFont="1" applyFill="1" applyBorder="1" applyAlignment="1">
      <alignment vertical="top"/>
    </xf>
    <xf numFmtId="0" fontId="4" fillId="7" borderId="16" xfId="0" applyFont="1" applyFill="1" applyBorder="1" applyAlignment="1">
      <alignment vertical="top"/>
    </xf>
    <xf numFmtId="0" fontId="4" fillId="2" borderId="11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4" fillId="2" borderId="6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4" fillId="2" borderId="4" xfId="0" applyFont="1" applyFill="1" applyBorder="1"/>
    <xf numFmtId="0" fontId="4" fillId="2" borderId="16" xfId="0" applyFont="1" applyFill="1" applyBorder="1"/>
    <xf numFmtId="0" fontId="10" fillId="11" borderId="3" xfId="0" applyFont="1" applyFill="1" applyBorder="1" applyAlignment="1">
      <alignment horizontal="center"/>
    </xf>
    <xf numFmtId="0" fontId="4" fillId="2" borderId="45" xfId="0" applyFont="1" applyFill="1" applyBorder="1"/>
    <xf numFmtId="0" fontId="4" fillId="17" borderId="1" xfId="0" applyFont="1" applyFill="1" applyBorder="1"/>
    <xf numFmtId="0" fontId="4" fillId="17" borderId="0" xfId="0" applyFont="1" applyFill="1"/>
    <xf numFmtId="0" fontId="0" fillId="17" borderId="0" xfId="0" applyFill="1"/>
    <xf numFmtId="0" fontId="4" fillId="17" borderId="18" xfId="0" applyFont="1" applyFill="1" applyBorder="1" applyAlignment="1"/>
    <xf numFmtId="0" fontId="4" fillId="17" borderId="19" xfId="0" applyFont="1" applyFill="1" applyBorder="1" applyAlignment="1"/>
    <xf numFmtId="0" fontId="11" fillId="6" borderId="3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wrapText="1"/>
    </xf>
    <xf numFmtId="0" fontId="11" fillId="6" borderId="6" xfId="0" applyFont="1" applyFill="1" applyBorder="1" applyAlignment="1">
      <alignment horizontal="center"/>
    </xf>
    <xf numFmtId="0" fontId="13" fillId="5" borderId="4" xfId="0" applyFont="1" applyFill="1" applyBorder="1" applyAlignment="1"/>
    <xf numFmtId="0" fontId="0" fillId="18" borderId="47" xfId="0" applyFill="1" applyBorder="1"/>
    <xf numFmtId="0" fontId="0" fillId="18" borderId="47" xfId="0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left"/>
    </xf>
    <xf numFmtId="14" fontId="4" fillId="7" borderId="2" xfId="0" applyNumberFormat="1" applyFont="1" applyFill="1" applyBorder="1" applyAlignment="1">
      <alignment horizontal="left"/>
    </xf>
    <xf numFmtId="14" fontId="0" fillId="0" borderId="0" xfId="0" applyNumberFormat="1"/>
    <xf numFmtId="0" fontId="4" fillId="7" borderId="6" xfId="0" applyFont="1" applyFill="1" applyBorder="1" applyAlignment="1">
      <alignment horizontal="center" vertical="top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4" fillId="17" borderId="0" xfId="0" applyFont="1" applyFill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19" borderId="48" xfId="0" applyFill="1" applyBorder="1" applyAlignment="1">
      <alignment horizontal="center"/>
    </xf>
    <xf numFmtId="0" fontId="0" fillId="19" borderId="49" xfId="0" applyFill="1" applyBorder="1" applyAlignment="1">
      <alignment horizontal="center"/>
    </xf>
    <xf numFmtId="0" fontId="0" fillId="19" borderId="50" xfId="0" applyFill="1" applyBorder="1" applyAlignment="1">
      <alignment horizontal="center"/>
    </xf>
    <xf numFmtId="0" fontId="1" fillId="20" borderId="47" xfId="0" applyFont="1" applyFill="1" applyBorder="1" applyAlignment="1">
      <alignment horizontal="center"/>
    </xf>
    <xf numFmtId="0" fontId="4" fillId="18" borderId="47" xfId="0" applyFont="1" applyFill="1" applyBorder="1"/>
    <xf numFmtId="0" fontId="4" fillId="18" borderId="47" xfId="0" applyFont="1" applyFill="1" applyBorder="1" applyAlignment="1">
      <alignment horizontal="center"/>
    </xf>
    <xf numFmtId="14" fontId="0" fillId="15" borderId="43" xfId="0" applyNumberFormat="1" applyFill="1" applyBorder="1" applyAlignment="1">
      <alignment horizontal="center"/>
    </xf>
    <xf numFmtId="14" fontId="0" fillId="0" borderId="37" xfId="0" applyNumberFormat="1" applyBorder="1"/>
    <xf numFmtId="0" fontId="0" fillId="0" borderId="54" xfId="0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19" borderId="54" xfId="0" applyFill="1" applyBorder="1" applyAlignment="1">
      <alignment horizontal="center"/>
    </xf>
    <xf numFmtId="0" fontId="0" fillId="19" borderId="55" xfId="0" applyFill="1" applyBorder="1" applyAlignment="1">
      <alignment horizontal="center"/>
    </xf>
    <xf numFmtId="0" fontId="0" fillId="19" borderId="56" xfId="0" applyFill="1" applyBorder="1" applyAlignment="1">
      <alignment horizontal="center"/>
    </xf>
    <xf numFmtId="0" fontId="0" fillId="0" borderId="38" xfId="0" applyBorder="1" applyAlignment="1">
      <alignment horizontal="center"/>
    </xf>
    <xf numFmtId="16" fontId="0" fillId="9" borderId="47" xfId="0" applyNumberFormat="1" applyFill="1" applyBorder="1"/>
    <xf numFmtId="0" fontId="0" fillId="10" borderId="47" xfId="0" applyFill="1" applyBorder="1" applyAlignment="1">
      <alignment horizontal="center"/>
    </xf>
    <xf numFmtId="0" fontId="14" fillId="2" borderId="0" xfId="0" applyFont="1" applyFill="1" applyBorder="1" applyAlignment="1">
      <alignment horizontal="center"/>
    </xf>
    <xf numFmtId="16" fontId="16" fillId="6" borderId="10" xfId="0" applyNumberFormat="1" applyFont="1" applyFill="1" applyBorder="1" applyAlignment="1">
      <alignment horizontal="center" textRotation="45"/>
    </xf>
    <xf numFmtId="0" fontId="4" fillId="7" borderId="57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 wrapText="1"/>
    </xf>
    <xf numFmtId="0" fontId="4" fillId="2" borderId="46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14" fontId="0" fillId="3" borderId="10" xfId="0" applyNumberFormat="1" applyFill="1" applyBorder="1" applyAlignment="1">
      <alignment horizontal="center"/>
    </xf>
    <xf numFmtId="0" fontId="0" fillId="22" borderId="61" xfId="0" applyFill="1" applyBorder="1" applyAlignment="1">
      <alignment horizontal="center"/>
    </xf>
    <xf numFmtId="0" fontId="0" fillId="22" borderId="62" xfId="0" applyFill="1" applyBorder="1" applyAlignment="1">
      <alignment horizontal="center"/>
    </xf>
    <xf numFmtId="14" fontId="0" fillId="22" borderId="63" xfId="0" applyNumberFormat="1" applyFill="1" applyBorder="1" applyAlignment="1">
      <alignment horizontal="center"/>
    </xf>
    <xf numFmtId="14" fontId="0" fillId="22" borderId="62" xfId="0" applyNumberForma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6" fillId="8" borderId="0" xfId="0" applyFont="1" applyFill="1" applyAlignment="1">
      <alignment horizontal="left" vertical="center" indent="10"/>
    </xf>
    <xf numFmtId="0" fontId="4" fillId="17" borderId="7" xfId="0" applyFont="1" applyFill="1" applyBorder="1" applyAlignment="1">
      <alignment horizontal="right"/>
    </xf>
    <xf numFmtId="0" fontId="4" fillId="17" borderId="35" xfId="0" applyFont="1" applyFill="1" applyBorder="1" applyAlignment="1">
      <alignment horizontal="right"/>
    </xf>
    <xf numFmtId="0" fontId="9" fillId="17" borderId="0" xfId="0" applyFont="1" applyFill="1" applyAlignment="1">
      <alignment horizontal="center"/>
    </xf>
    <xf numFmtId="0" fontId="15" fillId="5" borderId="4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right"/>
    </xf>
    <xf numFmtId="0" fontId="4" fillId="2" borderId="35" xfId="0" applyFont="1" applyFill="1" applyBorder="1" applyAlignment="1">
      <alignment horizontal="right"/>
    </xf>
    <xf numFmtId="0" fontId="0" fillId="7" borderId="7" xfId="0" applyFill="1" applyBorder="1" applyAlignment="1">
      <alignment horizontal="left"/>
    </xf>
    <xf numFmtId="0" fontId="0" fillId="7" borderId="8" xfId="0" applyFill="1" applyBorder="1" applyAlignment="1">
      <alignment horizontal="left"/>
    </xf>
    <xf numFmtId="0" fontId="4" fillId="7" borderId="7" xfId="0" applyFont="1" applyFill="1" applyBorder="1" applyAlignment="1">
      <alignment horizontal="left"/>
    </xf>
    <xf numFmtId="0" fontId="4" fillId="7" borderId="8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10" fillId="11" borderId="7" xfId="0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/>
    </xf>
    <xf numFmtId="0" fontId="10" fillId="11" borderId="8" xfId="0" applyFont="1" applyFill="1" applyBorder="1" applyAlignment="1">
      <alignment horizontal="center"/>
    </xf>
    <xf numFmtId="0" fontId="10" fillId="16" borderId="7" xfId="0" applyFont="1" applyFill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10" fillId="16" borderId="8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/>
    </xf>
    <xf numFmtId="0" fontId="4" fillId="7" borderId="6" xfId="0" applyFont="1" applyFill="1" applyBorder="1" applyAlignment="1">
      <alignment horizontal="left" vertical="top"/>
    </xf>
    <xf numFmtId="0" fontId="4" fillId="7" borderId="0" xfId="0" applyFont="1" applyFill="1" applyBorder="1" applyAlignment="1">
      <alignment horizontal="left" vertical="top"/>
    </xf>
    <xf numFmtId="0" fontId="4" fillId="7" borderId="14" xfId="0" applyFont="1" applyFill="1" applyBorder="1" applyAlignment="1">
      <alignment horizontal="left" vertical="top"/>
    </xf>
    <xf numFmtId="0" fontId="4" fillId="7" borderId="15" xfId="0" applyFont="1" applyFill="1" applyBorder="1" applyAlignment="1">
      <alignment horizontal="left" vertical="top"/>
    </xf>
    <xf numFmtId="0" fontId="4" fillId="7" borderId="4" xfId="0" applyFont="1" applyFill="1" applyBorder="1" applyAlignment="1">
      <alignment horizontal="left" vertical="top"/>
    </xf>
    <xf numFmtId="0" fontId="4" fillId="7" borderId="16" xfId="0" applyFont="1" applyFill="1" applyBorder="1" applyAlignment="1">
      <alignment horizontal="left" vertical="top"/>
    </xf>
    <xf numFmtId="0" fontId="2" fillId="21" borderId="58" xfId="0" applyFont="1" applyFill="1" applyBorder="1" applyAlignment="1">
      <alignment horizontal="center"/>
    </xf>
    <xf numFmtId="0" fontId="2" fillId="21" borderId="59" xfId="0" applyFont="1" applyFill="1" applyBorder="1" applyAlignment="1">
      <alignment horizontal="center"/>
    </xf>
    <xf numFmtId="0" fontId="2" fillId="21" borderId="60" xfId="0" applyFont="1" applyFill="1" applyBorder="1" applyAlignment="1">
      <alignment horizontal="center"/>
    </xf>
    <xf numFmtId="0" fontId="7" fillId="12" borderId="29" xfId="0" applyFont="1" applyFill="1" applyBorder="1" applyAlignment="1">
      <alignment horizontal="center"/>
    </xf>
    <xf numFmtId="0" fontId="7" fillId="12" borderId="30" xfId="0" applyFont="1" applyFill="1" applyBorder="1" applyAlignment="1">
      <alignment horizontal="center"/>
    </xf>
    <xf numFmtId="0" fontId="7" fillId="12" borderId="31" xfId="0" applyFont="1" applyFill="1" applyBorder="1" applyAlignment="1">
      <alignment horizontal="center"/>
    </xf>
    <xf numFmtId="0" fontId="9" fillId="14" borderId="39" xfId="0" applyFont="1" applyFill="1" applyBorder="1" applyAlignment="1">
      <alignment horizontal="center"/>
    </xf>
    <xf numFmtId="0" fontId="9" fillId="14" borderId="40" xfId="0" applyFont="1" applyFill="1" applyBorder="1" applyAlignment="1">
      <alignment horizontal="center"/>
    </xf>
    <xf numFmtId="0" fontId="9" fillId="14" borderId="41" xfId="0" applyFont="1" applyFill="1" applyBorder="1" applyAlignment="1">
      <alignment horizontal="center"/>
    </xf>
    <xf numFmtId="0" fontId="12" fillId="19" borderId="51" xfId="0" applyFont="1" applyFill="1" applyBorder="1" applyAlignment="1">
      <alignment horizontal="center"/>
    </xf>
    <xf numFmtId="0" fontId="12" fillId="19" borderId="52" xfId="0" applyFont="1" applyFill="1" applyBorder="1" applyAlignment="1">
      <alignment horizontal="center"/>
    </xf>
    <xf numFmtId="0" fontId="12" fillId="19" borderId="53" xfId="0" applyFont="1" applyFill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rgb="FFD6EDF2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border>
        <right/>
        <vertical/>
        <horizontal/>
      </border>
    </dxf>
    <dxf>
      <fill>
        <patternFill>
          <bgColor rgb="FFFF99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border>
        <left/>
        <right/>
        <bottom/>
        <vertical/>
        <horizontal/>
      </border>
    </dxf>
  </dxfs>
  <tableStyles count="0" defaultTableStyle="TableStyleMedium2" defaultPivotStyle="PivotStyleLight16"/>
  <colors>
    <mruColors>
      <color rgb="FFFF9900"/>
      <color rgb="FF00642D"/>
      <color rgb="FFAAC2E0"/>
      <color rgb="FFFFFF99"/>
      <color rgb="FFD6EDF2"/>
      <color rgb="FFF0F8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microsoft.com/office/2007/relationships/hdphoto" Target="../media/hdphoto1.wdp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0</xdr:row>
      <xdr:rowOff>0</xdr:rowOff>
    </xdr:from>
    <xdr:to>
      <xdr:col>3</xdr:col>
      <xdr:colOff>714375</xdr:colOff>
      <xdr:row>2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0"/>
          <a:ext cx="828675" cy="828675"/>
        </a:xfrm>
        <a:prstGeom prst="rect">
          <a:avLst/>
        </a:prstGeom>
      </xdr:spPr>
    </xdr:pic>
    <xdr:clientData/>
  </xdr:twoCellAnchor>
  <xdr:twoCellAnchor editAs="oneCell">
    <xdr:from>
      <xdr:col>3</xdr:col>
      <xdr:colOff>647700</xdr:colOff>
      <xdr:row>2</xdr:row>
      <xdr:rowOff>31340</xdr:rowOff>
    </xdr:from>
    <xdr:to>
      <xdr:col>4</xdr:col>
      <xdr:colOff>800100</xdr:colOff>
      <xdr:row>2</xdr:row>
      <xdr:rowOff>278990</xdr:rowOff>
    </xdr:to>
    <xdr:grpSp>
      <xdr:nvGrpSpPr>
        <xdr:cNvPr id="15" name="ExistProjGr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2286000" y="736190"/>
          <a:ext cx="1123950" cy="247650"/>
          <a:chOff x="2465746" y="798871"/>
          <a:chExt cx="1123335" cy="247650"/>
        </a:xfrm>
      </xdr:grpSpPr>
      <xdr:sp macro="[0]!Project_New" textlink="">
        <xdr:nvSpPr>
          <xdr:cNvPr id="2" name="Rounded Rectangle 1" hidden="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465746" y="798871"/>
            <a:ext cx="1123335" cy="24765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 Project</a:t>
            </a:r>
          </a:p>
        </xdr:txBody>
      </xdr:sp>
      <xdr:pic macro="[0]!Project_New">
        <xdr:nvPicPr>
          <xdr:cNvPr id="4" name="Picture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artisticPhotocopy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13372" y="817921"/>
            <a:ext cx="227985" cy="228600"/>
          </a:xfrm>
          <a:prstGeom prst="rect">
            <a:avLst/>
          </a:prstGeom>
        </xdr:spPr>
      </xdr:pic>
      <xdr:pic macro="[0]!Project_New">
        <xdr:nvPicPr>
          <xdr:cNvPr id="5" name="Pictur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3428" y="823760"/>
            <a:ext cx="137160" cy="13716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647700</xdr:colOff>
      <xdr:row>2</xdr:row>
      <xdr:rowOff>30726</xdr:rowOff>
    </xdr:from>
    <xdr:to>
      <xdr:col>7</xdr:col>
      <xdr:colOff>85396</xdr:colOff>
      <xdr:row>2</xdr:row>
      <xdr:rowOff>279605</xdr:rowOff>
    </xdr:to>
    <xdr:grpSp>
      <xdr:nvGrpSpPr>
        <xdr:cNvPr id="14" name="NewProjGrp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86000" y="735576"/>
          <a:ext cx="2314246" cy="248879"/>
          <a:chOff x="3560200" y="634180"/>
          <a:chExt cx="2313466" cy="247650"/>
        </a:xfrm>
      </xdr:grpSpPr>
      <xdr:grpSp>
        <xdr:nvGrpSpPr>
          <xdr:cNvPr id="13" name="SaveBtn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3560200" y="634180"/>
            <a:ext cx="1116268" cy="247650"/>
            <a:chOff x="4150135" y="996130"/>
            <a:chExt cx="1116268" cy="247650"/>
          </a:xfrm>
        </xdr:grpSpPr>
        <xdr:sp macro="[0]!Project_Save" textlink="">
          <xdr:nvSpPr>
            <xdr:cNvPr id="8" name="Rounded Rectangl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4150135" y="996130"/>
              <a:ext cx="1116268" cy="24765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Save Project</a:t>
              </a:r>
            </a:p>
          </xdr:txBody>
        </xdr:sp>
        <xdr:pic macro="[0]!Project_Save">
          <xdr:nvPicPr>
            <xdr:cNvPr id="9" name="Pictur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artisticPhotocopy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97761" y="1015180"/>
              <a:ext cx="227985" cy="228600"/>
            </a:xfrm>
            <a:prstGeom prst="rect">
              <a:avLst/>
            </a:prstGeom>
          </xdr:spPr>
        </xdr:pic>
        <xdr:pic macro="[0]!Project_Save">
          <xdr:nvPicPr>
            <xdr:cNvPr id="10" name="Pictur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288127" y="1102390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12" name="Cancel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4759734" y="634180"/>
            <a:ext cx="1113932" cy="247650"/>
            <a:chOff x="3997734" y="843730"/>
            <a:chExt cx="1113932" cy="247650"/>
          </a:xfrm>
        </xdr:grpSpPr>
        <xdr:sp macro="[0]!Project_CancelNew" textlink="">
          <xdr:nvSpPr>
            <xdr:cNvPr id="6" name="Rounded 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3997734" y="843730"/>
              <a:ext cx="1113932" cy="24765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Cancel</a:t>
              </a:r>
              <a:r>
                <a:rPr lang="en-US" sz="1100" baseline="0"/>
                <a:t> New</a:t>
              </a:r>
              <a:endParaRPr lang="en-US" sz="1100"/>
            </a:p>
          </xdr:txBody>
        </xdr:sp>
        <xdr:pic macro="[0]!Project_CancelNew"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artisticPhotocopy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45361" y="862780"/>
              <a:ext cx="227985" cy="228600"/>
            </a:xfrm>
            <a:prstGeom prst="rect">
              <a:avLst/>
            </a:prstGeom>
          </xdr:spPr>
        </xdr:pic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42514" y="967587"/>
              <a:ext cx="118872" cy="11887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8</xdr:col>
      <xdr:colOff>466725</xdr:colOff>
      <xdr:row>3</xdr:row>
      <xdr:rowOff>28575</xdr:rowOff>
    </xdr:from>
    <xdr:to>
      <xdr:col>8</xdr:col>
      <xdr:colOff>613029</xdr:colOff>
      <xdr:row>3</xdr:row>
      <xdr:rowOff>174879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600700" y="1162050"/>
          <a:ext cx="146304" cy="14630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90488</xdr:rowOff>
    </xdr:from>
    <xdr:to>
      <xdr:col>28</xdr:col>
      <xdr:colOff>123825</xdr:colOff>
      <xdr:row>0</xdr:row>
      <xdr:rowOff>414338</xdr:rowOff>
    </xdr:to>
    <xdr:sp macro="[0]!NextMonth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029700" y="90488"/>
          <a:ext cx="923925" cy="323850"/>
        </a:xfrm>
        <a:prstGeom prst="rightArrow">
          <a:avLst>
            <a:gd name="adj1" fmla="val 74561"/>
            <a:gd name="adj2" fmla="val 44737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36576" bIns="0" rtlCol="0" anchor="ctr"/>
        <a:lstStyle/>
        <a:p>
          <a:pPr algn="r"/>
          <a:r>
            <a:rPr lang="en-US" sz="1100"/>
            <a:t>Next</a:t>
          </a:r>
          <a:r>
            <a:rPr lang="en-US" sz="1100" baseline="0"/>
            <a:t> Month</a:t>
          </a:r>
          <a:endParaRPr lang="en-US" sz="1100"/>
        </a:p>
      </xdr:txBody>
    </xdr:sp>
    <xdr:clientData/>
  </xdr:twoCellAnchor>
  <xdr:twoCellAnchor editAs="oneCell">
    <xdr:from>
      <xdr:col>15</xdr:col>
      <xdr:colOff>0</xdr:colOff>
      <xdr:row>0</xdr:row>
      <xdr:rowOff>90488</xdr:rowOff>
    </xdr:from>
    <xdr:to>
      <xdr:col>19</xdr:col>
      <xdr:colOff>123825</xdr:colOff>
      <xdr:row>0</xdr:row>
      <xdr:rowOff>414338</xdr:rowOff>
    </xdr:to>
    <xdr:sp macro="[0]!PrevMonth" textlink="">
      <xdr:nvSpPr>
        <xdr:cNvPr id="19" name="Right Arrow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flipH="1">
          <a:off x="7229475" y="90488"/>
          <a:ext cx="923925" cy="323850"/>
        </a:xfrm>
        <a:prstGeom prst="rightArrow">
          <a:avLst>
            <a:gd name="adj1" fmla="val 74561"/>
            <a:gd name="adj2" fmla="val 44737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36576" bIns="0" rtlCol="0" anchor="ctr"/>
        <a:lstStyle/>
        <a:p>
          <a:pPr algn="l"/>
          <a:r>
            <a:rPr lang="en-US" sz="1100" baseline="0"/>
            <a:t>Prev. Month</a:t>
          </a:r>
          <a:endParaRPr lang="en-US" sz="1100"/>
        </a:p>
      </xdr:txBody>
    </xdr:sp>
    <xdr:clientData/>
  </xdr:twoCellAnchor>
  <xdr:twoCellAnchor editAs="oneCell">
    <xdr:from>
      <xdr:col>7</xdr:col>
      <xdr:colOff>198002</xdr:colOff>
      <xdr:row>1</xdr:row>
      <xdr:rowOff>224583</xdr:rowOff>
    </xdr:from>
    <xdr:to>
      <xdr:col>9</xdr:col>
      <xdr:colOff>129422</xdr:colOff>
      <xdr:row>2</xdr:row>
      <xdr:rowOff>319833</xdr:rowOff>
    </xdr:to>
    <xdr:grpSp>
      <xdr:nvGrpSpPr>
        <xdr:cNvPr id="21" name="ShowFiltBt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4712852" y="700833"/>
          <a:ext cx="1188720" cy="323850"/>
          <a:chOff x="7981949" y="2981326"/>
          <a:chExt cx="1188720" cy="323850"/>
        </a:xfrm>
      </xdr:grpSpPr>
      <xdr:sp macro="[0]!ShowFilters" textlink="">
        <xdr:nvSpPr>
          <xdr:cNvPr id="20" name="Right Arrow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7981949" y="2981326"/>
            <a:ext cx="1188720" cy="323850"/>
          </a:xfrm>
          <a:prstGeom prst="rightArrow">
            <a:avLst>
              <a:gd name="adj1" fmla="val 74561"/>
              <a:gd name="adj2" fmla="val 44737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36576" bIns="0" rtlCol="0" anchor="ctr"/>
          <a:lstStyle/>
          <a:p>
            <a:pPr algn="r"/>
            <a:r>
              <a:rPr lang="en-US" sz="1100"/>
              <a:t>Filter Projects</a:t>
            </a:r>
          </a:p>
        </xdr:txBody>
      </xdr:sp>
      <xdr:pic macro="[0]!ShowFilters"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20050" y="305181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253466</xdr:colOff>
      <xdr:row>1</xdr:row>
      <xdr:rowOff>225240</xdr:rowOff>
    </xdr:from>
    <xdr:to>
      <xdr:col>9</xdr:col>
      <xdr:colOff>73958</xdr:colOff>
      <xdr:row>2</xdr:row>
      <xdr:rowOff>319176</xdr:rowOff>
    </xdr:to>
    <xdr:grpSp>
      <xdr:nvGrpSpPr>
        <xdr:cNvPr id="26" name="HideFiltBtn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4768316" y="701490"/>
          <a:ext cx="1077792" cy="322536"/>
          <a:chOff x="8604884" y="2726056"/>
          <a:chExt cx="1076326" cy="323850"/>
        </a:xfrm>
      </xdr:grpSpPr>
      <xdr:sp macro="[0]!HideFilters" textlink="">
        <xdr:nvSpPr>
          <xdr:cNvPr id="23" name="Right Arrow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H="1">
            <a:off x="8604884" y="2726056"/>
            <a:ext cx="1076326" cy="323850"/>
          </a:xfrm>
          <a:prstGeom prst="rightArrow">
            <a:avLst>
              <a:gd name="adj1" fmla="val 74561"/>
              <a:gd name="adj2" fmla="val 44737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54864" bIns="0" rtlCol="0" anchor="ctr"/>
          <a:lstStyle/>
          <a:p>
            <a:pPr algn="r"/>
            <a:r>
              <a:rPr lang="en-US" sz="1100"/>
              <a:t>Hide Filters </a:t>
            </a:r>
          </a:p>
        </xdr:txBody>
      </xdr:sp>
      <xdr:pic macro="[0]!HideFilters">
        <xdr:nvPicPr>
          <xdr:cNvPr id="24" name="Picture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28710" y="2787016"/>
            <a:ext cx="182880" cy="182880"/>
          </a:xfrm>
          <a:prstGeom prst="rect">
            <a:avLst/>
          </a:prstGeom>
        </xdr:spPr>
      </xdr:pic>
      <xdr:pic macro="[0]!HideFilters">
        <xdr:nvPicPr>
          <xdr:cNvPr id="25" name="Picture 24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0150" y="2853690"/>
            <a:ext cx="118904" cy="1194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P1048576"/>
  <sheetViews>
    <sheetView showZeros="0" tabSelected="1" topLeftCell="B1" zoomScaleNormal="100" workbookViewId="0">
      <selection activeCell="X28" sqref="X28"/>
    </sheetView>
  </sheetViews>
  <sheetFormatPr defaultRowHeight="15" x14ac:dyDescent="0.25"/>
  <cols>
    <col min="1" max="1" width="13.42578125" bestFit="1" customWidth="1"/>
    <col min="3" max="3" width="2" customWidth="1"/>
    <col min="4" max="4" width="14.5703125" bestFit="1" customWidth="1"/>
    <col min="5" max="5" width="17.7109375" customWidth="1"/>
    <col min="6" max="6" width="6.5703125" bestFit="1" customWidth="1"/>
    <col min="7" max="7" width="4.28515625" customWidth="1"/>
    <col min="8" max="8" width="9.28515625" bestFit="1" customWidth="1"/>
    <col min="9" max="9" width="9.5703125" customWidth="1"/>
    <col min="10" max="10" width="5" customWidth="1"/>
    <col min="11" max="11" width="13.42578125" hidden="1" customWidth="1"/>
    <col min="12" max="12" width="4.5703125" hidden="1" customWidth="1"/>
    <col min="13" max="13" width="12" hidden="1" customWidth="1"/>
    <col min="14" max="14" width="4.5703125" hidden="1" customWidth="1"/>
    <col min="15" max="15" width="14.7109375" bestFit="1" customWidth="1"/>
    <col min="16" max="46" width="3" customWidth="1"/>
    <col min="49" max="53" width="2.5703125" customWidth="1"/>
    <col min="54" max="54" width="18.7109375" bestFit="1" customWidth="1"/>
    <col min="60" max="61" width="1.28515625" customWidth="1"/>
    <col min="62" max="115" width="1" customWidth="1"/>
    <col min="116" max="116" width="6.5703125" customWidth="1"/>
    <col min="117" max="117" width="8.5703125" customWidth="1"/>
    <col min="118" max="118" width="7.28515625" customWidth="1"/>
    <col min="119" max="119" width="7" customWidth="1"/>
    <col min="120" max="120" width="8.140625" customWidth="1"/>
    <col min="121" max="121" width="8.85546875" customWidth="1"/>
    <col min="122" max="146" width="6.5703125" bestFit="1" customWidth="1"/>
  </cols>
  <sheetData>
    <row r="1" spans="1:146" ht="37.5" x14ac:dyDescent="0.5">
      <c r="A1" s="2"/>
      <c r="B1" s="2"/>
      <c r="C1" s="114" t="s">
        <v>0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9"/>
      <c r="S1" s="9"/>
      <c r="T1" s="9"/>
      <c r="U1" s="9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1:146" ht="18" customHeight="1" x14ac:dyDescent="0.3">
      <c r="A2" s="70" t="s">
        <v>24</v>
      </c>
      <c r="B2" s="71" t="b">
        <v>0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8" t="s">
        <v>7</v>
      </c>
      <c r="S2" s="118"/>
      <c r="T2" s="118"/>
      <c r="U2" s="118"/>
      <c r="V2" s="118"/>
      <c r="W2" s="118"/>
      <c r="X2" s="119">
        <v>2019</v>
      </c>
      <c r="Y2" s="119"/>
      <c r="Z2" s="119"/>
      <c r="AA2" s="119"/>
      <c r="AB2" s="69"/>
      <c r="AC2" s="69"/>
      <c r="AD2" s="69"/>
      <c r="AE2" s="69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20"/>
      <c r="AV2" s="20"/>
    </row>
    <row r="3" spans="1:146" ht="35.25" x14ac:dyDescent="0.4">
      <c r="A3" s="70" t="s">
        <v>32</v>
      </c>
      <c r="B3" s="71" t="b">
        <v>1</v>
      </c>
      <c r="C3" s="4"/>
      <c r="D3" s="4"/>
      <c r="E3" s="4"/>
      <c r="F3" s="4"/>
      <c r="G3" s="4"/>
      <c r="H3" s="4"/>
      <c r="I3" s="4"/>
      <c r="J3" s="4"/>
      <c r="K3" s="66" t="s">
        <v>11</v>
      </c>
      <c r="L3" s="4"/>
      <c r="M3" s="103" t="s">
        <v>8</v>
      </c>
      <c r="N3" s="13"/>
      <c r="O3" s="67" t="s">
        <v>14</v>
      </c>
      <c r="P3" s="101">
        <f>DATE(X2,B5,1)</f>
        <v>43466</v>
      </c>
      <c r="Q3" s="101">
        <f>P3+1</f>
        <v>43467</v>
      </c>
      <c r="R3" s="101">
        <f t="shared" ref="R3:AQ3" si="0">Q3+1</f>
        <v>43468</v>
      </c>
      <c r="S3" s="101">
        <f t="shared" si="0"/>
        <v>43469</v>
      </c>
      <c r="T3" s="101">
        <f t="shared" si="0"/>
        <v>43470</v>
      </c>
      <c r="U3" s="101">
        <f t="shared" si="0"/>
        <v>43471</v>
      </c>
      <c r="V3" s="101">
        <f t="shared" si="0"/>
        <v>43472</v>
      </c>
      <c r="W3" s="101">
        <f t="shared" si="0"/>
        <v>43473</v>
      </c>
      <c r="X3" s="101">
        <f t="shared" si="0"/>
        <v>43474</v>
      </c>
      <c r="Y3" s="101">
        <f t="shared" si="0"/>
        <v>43475</v>
      </c>
      <c r="Z3" s="101">
        <f t="shared" si="0"/>
        <v>43476</v>
      </c>
      <c r="AA3" s="101">
        <f t="shared" si="0"/>
        <v>43477</v>
      </c>
      <c r="AB3" s="101">
        <f t="shared" si="0"/>
        <v>43478</v>
      </c>
      <c r="AC3" s="101">
        <f t="shared" si="0"/>
        <v>43479</v>
      </c>
      <c r="AD3" s="101">
        <f t="shared" si="0"/>
        <v>43480</v>
      </c>
      <c r="AE3" s="101">
        <f t="shared" si="0"/>
        <v>43481</v>
      </c>
      <c r="AF3" s="101">
        <f t="shared" si="0"/>
        <v>43482</v>
      </c>
      <c r="AG3" s="101">
        <f t="shared" si="0"/>
        <v>43483</v>
      </c>
      <c r="AH3" s="101">
        <f t="shared" si="0"/>
        <v>43484</v>
      </c>
      <c r="AI3" s="101">
        <f t="shared" si="0"/>
        <v>43485</v>
      </c>
      <c r="AJ3" s="101">
        <f t="shared" si="0"/>
        <v>43486</v>
      </c>
      <c r="AK3" s="101">
        <f t="shared" si="0"/>
        <v>43487</v>
      </c>
      <c r="AL3" s="101">
        <f t="shared" si="0"/>
        <v>43488</v>
      </c>
      <c r="AM3" s="101">
        <f t="shared" si="0"/>
        <v>43489</v>
      </c>
      <c r="AN3" s="101">
        <f t="shared" si="0"/>
        <v>43490</v>
      </c>
      <c r="AO3" s="101">
        <f t="shared" si="0"/>
        <v>43491</v>
      </c>
      <c r="AP3" s="101">
        <f t="shared" si="0"/>
        <v>43492</v>
      </c>
      <c r="AQ3" s="101">
        <f t="shared" si="0"/>
        <v>43493</v>
      </c>
      <c r="AR3" s="101">
        <f>IFERROR(IF(MONTH(AQ3)&lt;&gt;MONTH(AQ3+1),"",AQ3+1),"")</f>
        <v>43494</v>
      </c>
      <c r="AS3" s="101">
        <f t="shared" ref="AS3:AT3" si="1">IFERROR(IF(MONTH(AR3)&lt;&gt;MONTH(AR3+1),"",AR3+1),"")</f>
        <v>43495</v>
      </c>
      <c r="AT3" s="101">
        <f t="shared" si="1"/>
        <v>43496</v>
      </c>
      <c r="AU3" s="68"/>
      <c r="AV3" s="21"/>
      <c r="BB3" s="117" t="s">
        <v>42</v>
      </c>
      <c r="BC3" s="117"/>
      <c r="BD3" s="117"/>
      <c r="BE3" s="117"/>
      <c r="BF3" s="117"/>
      <c r="BG3" s="117"/>
      <c r="DL3" s="98">
        <f t="shared" ref="DL3:EP3" si="2">P3</f>
        <v>43466</v>
      </c>
      <c r="DM3" s="98">
        <f t="shared" si="2"/>
        <v>43467</v>
      </c>
      <c r="DN3" s="98">
        <f t="shared" si="2"/>
        <v>43468</v>
      </c>
      <c r="DO3" s="98">
        <f t="shared" si="2"/>
        <v>43469</v>
      </c>
      <c r="DP3" s="98">
        <f t="shared" si="2"/>
        <v>43470</v>
      </c>
      <c r="DQ3" s="98">
        <f t="shared" si="2"/>
        <v>43471</v>
      </c>
      <c r="DR3" s="98">
        <f t="shared" si="2"/>
        <v>43472</v>
      </c>
      <c r="DS3" s="98">
        <f t="shared" si="2"/>
        <v>43473</v>
      </c>
      <c r="DT3" s="98">
        <f t="shared" si="2"/>
        <v>43474</v>
      </c>
      <c r="DU3" s="98">
        <f t="shared" si="2"/>
        <v>43475</v>
      </c>
      <c r="DV3" s="98">
        <f t="shared" si="2"/>
        <v>43476</v>
      </c>
      <c r="DW3" s="98">
        <f t="shared" si="2"/>
        <v>43477</v>
      </c>
      <c r="DX3" s="98">
        <f t="shared" si="2"/>
        <v>43478</v>
      </c>
      <c r="DY3" s="98">
        <f t="shared" si="2"/>
        <v>43479</v>
      </c>
      <c r="DZ3" s="98">
        <f t="shared" si="2"/>
        <v>43480</v>
      </c>
      <c r="EA3" s="98">
        <f t="shared" si="2"/>
        <v>43481</v>
      </c>
      <c r="EB3" s="98">
        <f t="shared" si="2"/>
        <v>43482</v>
      </c>
      <c r="EC3" s="98">
        <f t="shared" si="2"/>
        <v>43483</v>
      </c>
      <c r="ED3" s="98">
        <f t="shared" si="2"/>
        <v>43484</v>
      </c>
      <c r="EE3" s="98">
        <f t="shared" si="2"/>
        <v>43485</v>
      </c>
      <c r="EF3" s="98">
        <f t="shared" si="2"/>
        <v>43486</v>
      </c>
      <c r="EG3" s="98">
        <f t="shared" si="2"/>
        <v>43487</v>
      </c>
      <c r="EH3" s="98">
        <f t="shared" si="2"/>
        <v>43488</v>
      </c>
      <c r="EI3" s="98">
        <f t="shared" si="2"/>
        <v>43489</v>
      </c>
      <c r="EJ3" s="98">
        <f t="shared" si="2"/>
        <v>43490</v>
      </c>
      <c r="EK3" s="98">
        <f t="shared" si="2"/>
        <v>43491</v>
      </c>
      <c r="EL3" s="98">
        <f t="shared" si="2"/>
        <v>43492</v>
      </c>
      <c r="EM3" s="98">
        <f t="shared" si="2"/>
        <v>43493</v>
      </c>
      <c r="EN3" s="98">
        <f t="shared" si="2"/>
        <v>43494</v>
      </c>
      <c r="EO3" s="98">
        <f t="shared" si="2"/>
        <v>43495</v>
      </c>
      <c r="EP3" s="98">
        <f t="shared" si="2"/>
        <v>43496</v>
      </c>
    </row>
    <row r="4" spans="1:146" x14ac:dyDescent="0.25">
      <c r="A4" s="70" t="s">
        <v>33</v>
      </c>
      <c r="B4" s="71" t="str">
        <f ca="1">IFERROR(MATCH(I4,Proj_Numb,0)+3,"")</f>
        <v/>
      </c>
      <c r="C4" s="5"/>
      <c r="D4" s="6" t="s">
        <v>1</v>
      </c>
      <c r="E4" s="8"/>
      <c r="F4" s="5"/>
      <c r="G4" s="5"/>
      <c r="H4" s="38" t="s">
        <v>25</v>
      </c>
      <c r="I4" s="73"/>
      <c r="J4" s="16"/>
      <c r="K4" s="15"/>
      <c r="L4" s="5"/>
      <c r="M4" s="19" t="s">
        <v>9</v>
      </c>
      <c r="N4" s="5"/>
      <c r="O4" s="37" t="str">
        <f>Resources!A3</f>
        <v>Fred Fredders</v>
      </c>
      <c r="P4" s="15"/>
      <c r="Q4" s="15"/>
      <c r="R4" s="15"/>
      <c r="S4" s="15"/>
      <c r="T4" s="15"/>
      <c r="U4" s="15"/>
      <c r="V4" s="15"/>
      <c r="W4" s="15"/>
      <c r="X4" s="15" t="s">
        <v>97</v>
      </c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 t="s">
        <v>94</v>
      </c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54"/>
      <c r="AV4" s="5"/>
      <c r="BB4" s="61" t="s">
        <v>1</v>
      </c>
      <c r="BC4" s="72">
        <v>2</v>
      </c>
      <c r="BD4" s="62"/>
      <c r="BE4" s="62"/>
      <c r="BF4" s="38" t="s">
        <v>25</v>
      </c>
      <c r="BG4" s="72">
        <v>1</v>
      </c>
      <c r="DL4" s="99" t="str">
        <f t="shared" ref="DL4:DL37" ca="1" si="3">IFERROR(INDEX(ProjRes_ProjNumb,SUMPRODUCT((ProjRes_ResNames=$O4)*(ProjRes_StartDate&lt;=P$3)*(ProjRes_EndDate&gt;=P$3)*ROW(ProjRes_ProjNumb))-2,1),"")</f>
        <v/>
      </c>
      <c r="DM4" s="99" t="str">
        <f t="shared" ref="DM4:DM37" ca="1" si="4">IFERROR(INDEX(ProjRes_ProjNumb,SUMPRODUCT((ProjRes_ResNames=$O4)*(ProjRes_StartDate&lt;=Q$3)*(ProjRes_EndDate&gt;=Q$3)*ROW(ProjRes_ProjNumb))-2,1),"")</f>
        <v/>
      </c>
      <c r="DN4" s="99" t="str">
        <f t="shared" ref="DN4:DN37" ca="1" si="5">IFERROR(INDEX(ProjRes_ProjNumb,SUMPRODUCT((ProjRes_ResNames=$O4)*(ProjRes_StartDate&lt;=R$3)*(ProjRes_EndDate&gt;=R$3)*ROW(ProjRes_ProjNumb))-2,1),"")</f>
        <v/>
      </c>
      <c r="DO4" s="99" t="str">
        <f t="shared" ref="DO4:DO37" ca="1" si="6">IFERROR(INDEX(ProjRes_ProjNumb,SUMPRODUCT((ProjRes_ResNames=$O4)*(ProjRes_StartDate&lt;=S$3)*(ProjRes_EndDate&gt;=S$3)*ROW(ProjRes_ProjNumb))-2,1),"")</f>
        <v/>
      </c>
      <c r="DP4" s="99" t="str">
        <f t="shared" ref="DP4:DP37" ca="1" si="7">IFERROR(INDEX(ProjRes_ProjNumb,SUMPRODUCT((ProjRes_ResNames=$O4)*(ProjRes_StartDate&lt;=T$3)*(ProjRes_EndDate&gt;=T$3)*ROW(ProjRes_ProjNumb))-2,1),"")</f>
        <v/>
      </c>
      <c r="DQ4" s="99" t="str">
        <f t="shared" ref="DQ4:DQ37" ca="1" si="8">IFERROR(INDEX(ProjRes_ProjNumb,SUMPRODUCT((ProjRes_ResNames=$O4)*(ProjRes_StartDate&lt;=U$3)*(ProjRes_EndDate&gt;=U$3)*ROW(ProjRes_ProjNumb))-2,1),"")</f>
        <v/>
      </c>
      <c r="DR4" s="99" t="str">
        <f t="shared" ref="DR4:DR37" ca="1" si="9">IFERROR(INDEX(ProjRes_ProjNumb,SUMPRODUCT((ProjRes_ResNames=$O4)*(ProjRes_StartDate&lt;=V$3)*(ProjRes_EndDate&gt;=V$3)*ROW(ProjRes_ProjNumb))-2,1),"")</f>
        <v/>
      </c>
      <c r="DS4" s="99" t="str">
        <f t="shared" ref="DS4:DS37" ca="1" si="10">IFERROR(INDEX(ProjRes_ProjNumb,SUMPRODUCT((ProjRes_ResNames=$O4)*(ProjRes_StartDate&lt;=W$3)*(ProjRes_EndDate&gt;=W$3)*ROW(ProjRes_ProjNumb))-2,1),"")</f>
        <v/>
      </c>
      <c r="DT4" s="99">
        <f t="shared" ref="DT4:DT37" ca="1" si="11">IFERROR(INDEX(ProjRes_ProjNumb,SUMPRODUCT((ProjRes_ResNames=$O4)*(ProjRes_StartDate&lt;=X$3)*(ProjRes_EndDate&gt;=X$3)*ROW(ProjRes_ProjNumb))-2,1),"")</f>
        <v>5</v>
      </c>
      <c r="DU4" s="99">
        <f t="shared" ref="DU4:DU37" ca="1" si="12">IFERROR(INDEX(ProjRes_ProjNumb,SUMPRODUCT((ProjRes_ResNames=$O4)*(ProjRes_StartDate&lt;=Y$3)*(ProjRes_EndDate&gt;=Y$3)*ROW(ProjRes_ProjNumb))-2,1),"")</f>
        <v>5</v>
      </c>
      <c r="DV4" s="99">
        <f t="shared" ref="DV4:DV37" ca="1" si="13">IFERROR(INDEX(ProjRes_ProjNumb,SUMPRODUCT((ProjRes_ResNames=$O4)*(ProjRes_StartDate&lt;=Z$3)*(ProjRes_EndDate&gt;=Z$3)*ROW(ProjRes_ProjNumb))-2,1),"")</f>
        <v>5</v>
      </c>
      <c r="DW4" s="99">
        <f t="shared" ref="DW4:DW37" ca="1" si="14">IFERROR(INDEX(ProjRes_ProjNumb,SUMPRODUCT((ProjRes_ResNames=$O4)*(ProjRes_StartDate&lt;=AA$3)*(ProjRes_EndDate&gt;=AA$3)*ROW(ProjRes_ProjNumb))-2,1),"")</f>
        <v>5</v>
      </c>
      <c r="DX4" s="99">
        <f t="shared" ref="DX4:DX37" ca="1" si="15">IFERROR(INDEX(ProjRes_ProjNumb,SUMPRODUCT((ProjRes_ResNames=$O4)*(ProjRes_StartDate&lt;=AB$3)*(ProjRes_EndDate&gt;=AB$3)*ROW(ProjRes_ProjNumb))-2,1),"")</f>
        <v>5</v>
      </c>
      <c r="DY4" s="99">
        <f t="shared" ref="DY4:DY37" ca="1" si="16">IFERROR(INDEX(ProjRes_ProjNumb,SUMPRODUCT((ProjRes_ResNames=$O4)*(ProjRes_StartDate&lt;=AC$3)*(ProjRes_EndDate&gt;=AC$3)*ROW(ProjRes_ProjNumb))-2,1),"")</f>
        <v>5</v>
      </c>
      <c r="DZ4" s="99">
        <f t="shared" ref="DZ4:DZ37" ca="1" si="17">IFERROR(INDEX(ProjRes_ProjNumb,SUMPRODUCT((ProjRes_ResNames=$O4)*(ProjRes_StartDate&lt;=AD$3)*(ProjRes_EndDate&gt;=AD$3)*ROW(ProjRes_ProjNumb))-2,1),"")</f>
        <v>5</v>
      </c>
      <c r="EA4" s="99">
        <f t="shared" ref="EA4:EA37" ca="1" si="18">IFERROR(INDEX(ProjRes_ProjNumb,SUMPRODUCT((ProjRes_ResNames=$O4)*(ProjRes_StartDate&lt;=AE$3)*(ProjRes_EndDate&gt;=AE$3)*ROW(ProjRes_ProjNumb))-2,1),"")</f>
        <v>5</v>
      </c>
      <c r="EB4" s="99" t="str">
        <f t="shared" ref="EB4:EB37" ca="1" si="19">IFERROR(INDEX(ProjRes_ProjNumb,SUMPRODUCT((ProjRes_ResNames=$O4)*(ProjRes_StartDate&lt;=AF$3)*(ProjRes_EndDate&gt;=AF$3)*ROW(ProjRes_ProjNumb))-2,1),"")</f>
        <v/>
      </c>
      <c r="EC4" s="99" t="str">
        <f t="shared" ref="EC4:EC37" ca="1" si="20">IFERROR(INDEX(ProjRes_ProjNumb,SUMPRODUCT((ProjRes_ResNames=$O4)*(ProjRes_StartDate&lt;=AG$3)*(ProjRes_EndDate&gt;=AG$3)*ROW(ProjRes_ProjNumb))-2,1),"")</f>
        <v/>
      </c>
      <c r="ED4" s="99" t="str">
        <f t="shared" ref="ED4:ED37" ca="1" si="21">IFERROR(INDEX(ProjRes_ProjNumb,SUMPRODUCT((ProjRes_ResNames=$O4)*(ProjRes_StartDate&lt;=AH$3)*(ProjRes_EndDate&gt;=AH$3)*ROW(ProjRes_ProjNumb))-2,1),"")</f>
        <v/>
      </c>
      <c r="EE4" s="99">
        <f t="shared" ref="EE4:EE37" ca="1" si="22">IFERROR(INDEX(ProjRes_ProjNumb,SUMPRODUCT((ProjRes_ResNames=$O4)*(ProjRes_StartDate&lt;=AI$3)*(ProjRes_EndDate&gt;=AI$3)*ROW(ProjRes_ProjNumb))-2,1),"")</f>
        <v>1</v>
      </c>
      <c r="EF4" s="99">
        <f t="shared" ref="EF4:EF37" ca="1" si="23">IFERROR(INDEX(ProjRes_ProjNumb,SUMPRODUCT((ProjRes_ResNames=$O4)*(ProjRes_StartDate&lt;=AJ$3)*(ProjRes_EndDate&gt;=AJ$3)*ROW(ProjRes_ProjNumb))-2,1),"")</f>
        <v>1</v>
      </c>
      <c r="EG4" s="99">
        <f t="shared" ref="EG4:EG37" ca="1" si="24">IFERROR(INDEX(ProjRes_ProjNumb,SUMPRODUCT((ProjRes_ResNames=$O4)*(ProjRes_StartDate&lt;=AK$3)*(ProjRes_EndDate&gt;=AK$3)*ROW(ProjRes_ProjNumb))-2,1),"")</f>
        <v>1</v>
      </c>
      <c r="EH4" s="99">
        <f t="shared" ref="EH4:EH37" ca="1" si="25">IFERROR(INDEX(ProjRes_ProjNumb,SUMPRODUCT((ProjRes_ResNames=$O4)*(ProjRes_StartDate&lt;=AL$3)*(ProjRes_EndDate&gt;=AL$3)*ROW(ProjRes_ProjNumb))-2,1),"")</f>
        <v>1</v>
      </c>
      <c r="EI4" s="99">
        <f t="shared" ref="EI4:EI37" ca="1" si="26">IFERROR(INDEX(ProjRes_ProjNumb,SUMPRODUCT((ProjRes_ResNames=$O4)*(ProjRes_StartDate&lt;=AM$3)*(ProjRes_EndDate&gt;=AM$3)*ROW(ProjRes_ProjNumb))-2,1),"")</f>
        <v>1</v>
      </c>
      <c r="EJ4" s="99">
        <f t="shared" ref="EJ4:EJ37" ca="1" si="27">IFERROR(INDEX(ProjRes_ProjNumb,SUMPRODUCT((ProjRes_ResNames=$O4)*(ProjRes_StartDate&lt;=AN$3)*(ProjRes_EndDate&gt;=AN$3)*ROW(ProjRes_ProjNumb))-2,1),"")</f>
        <v>1</v>
      </c>
      <c r="EK4" s="99">
        <f t="shared" ref="EK4:EK37" ca="1" si="28">IFERROR(INDEX(ProjRes_ProjNumb,SUMPRODUCT((ProjRes_ResNames=$O4)*(ProjRes_StartDate&lt;=AO$3)*(ProjRes_EndDate&gt;=AO$3)*ROW(ProjRes_ProjNumb))-2,1),"")</f>
        <v>1</v>
      </c>
      <c r="EL4" s="99">
        <f t="shared" ref="EL4:EL37" ca="1" si="29">IFERROR(INDEX(ProjRes_ProjNumb,SUMPRODUCT((ProjRes_ResNames=$O4)*(ProjRes_StartDate&lt;=AP$3)*(ProjRes_EndDate&gt;=AP$3)*ROW(ProjRes_ProjNumb))-2,1),"")</f>
        <v>1</v>
      </c>
      <c r="EM4" s="99">
        <f t="shared" ref="EM4:EM37" ca="1" si="30">IFERROR(INDEX(ProjRes_ProjNumb,SUMPRODUCT((ProjRes_ResNames=$O4)*(ProjRes_StartDate&lt;=AQ$3)*(ProjRes_EndDate&gt;=AQ$3)*ROW(ProjRes_ProjNumb))-2,1),"")</f>
        <v>1</v>
      </c>
      <c r="EN4" s="99">
        <f t="shared" ref="EN4:EN37" ca="1" si="31">IFERROR(INDEX(ProjRes_ProjNumb,SUMPRODUCT((ProjRes_ResNames=$O4)*(ProjRes_StartDate&lt;=AR$3)*(ProjRes_EndDate&gt;=AR$3)*ROW(ProjRes_ProjNumb))-2,1),"")</f>
        <v>1</v>
      </c>
      <c r="EO4" s="99">
        <f t="shared" ref="EO4:EO37" ca="1" si="32">IFERROR(INDEX(ProjRes_ProjNumb,SUMPRODUCT((ProjRes_ResNames=$O4)*(ProjRes_StartDate&lt;=AS$3)*(ProjRes_EndDate&gt;=AS$3)*ROW(ProjRes_ProjNumb))-2,1),"")</f>
        <v>1</v>
      </c>
      <c r="EP4" s="99">
        <f t="shared" ref="EP4:EP37" ca="1" si="33">IFERROR(INDEX(ProjRes_ProjNumb,SUMPRODUCT((ProjRes_ResNames=$O4)*(ProjRes_StartDate&lt;=AT$3)*(ProjRes_EndDate&gt;=AT$3)*ROW(ProjRes_ProjNumb))-2,1),"")</f>
        <v>1</v>
      </c>
    </row>
    <row r="5" spans="1:146" x14ac:dyDescent="0.25">
      <c r="A5" s="70" t="s">
        <v>40</v>
      </c>
      <c r="B5" s="71">
        <v>1</v>
      </c>
      <c r="C5" s="5"/>
      <c r="D5" s="5"/>
      <c r="E5" s="5"/>
      <c r="F5" s="5"/>
      <c r="G5" s="5"/>
      <c r="H5" s="126" t="s">
        <v>75</v>
      </c>
      <c r="I5" s="127"/>
      <c r="J5" s="113"/>
      <c r="K5" s="15"/>
      <c r="L5" s="5"/>
      <c r="M5" s="102"/>
      <c r="N5" s="5"/>
      <c r="O5" s="37" t="str">
        <f>Resources!A4</f>
        <v>Sally Smith</v>
      </c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 t="s">
        <v>101</v>
      </c>
      <c r="AF5" s="15"/>
      <c r="AG5" s="15"/>
      <c r="AH5" s="15"/>
      <c r="AI5" s="15" t="s">
        <v>94</v>
      </c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54"/>
      <c r="AV5" s="5"/>
      <c r="BB5" s="62"/>
      <c r="BC5" s="79"/>
      <c r="BD5" s="62"/>
      <c r="BE5" s="62"/>
      <c r="BF5" s="62"/>
      <c r="BG5" s="62"/>
      <c r="DL5" s="99" t="str">
        <f t="shared" ca="1" si="3"/>
        <v/>
      </c>
      <c r="DM5" s="99" t="str">
        <f t="shared" ca="1" si="4"/>
        <v/>
      </c>
      <c r="DN5" s="99" t="str">
        <f t="shared" ca="1" si="5"/>
        <v/>
      </c>
      <c r="DO5" s="99" t="str">
        <f t="shared" ca="1" si="6"/>
        <v/>
      </c>
      <c r="DP5" s="99" t="str">
        <f t="shared" ca="1" si="7"/>
        <v/>
      </c>
      <c r="DQ5" s="99" t="str">
        <f t="shared" ca="1" si="8"/>
        <v/>
      </c>
      <c r="DR5" s="99" t="str">
        <f t="shared" ca="1" si="9"/>
        <v/>
      </c>
      <c r="DS5" s="99" t="str">
        <f t="shared" ca="1" si="10"/>
        <v/>
      </c>
      <c r="DT5" s="99" t="str">
        <f t="shared" ca="1" si="11"/>
        <v/>
      </c>
      <c r="DU5" s="99" t="str">
        <f t="shared" ca="1" si="12"/>
        <v/>
      </c>
      <c r="DV5" s="99" t="str">
        <f t="shared" ca="1" si="13"/>
        <v/>
      </c>
      <c r="DW5" s="99" t="str">
        <f t="shared" ca="1" si="14"/>
        <v/>
      </c>
      <c r="DX5" s="99" t="str">
        <f t="shared" ca="1" si="15"/>
        <v/>
      </c>
      <c r="DY5" s="99" t="str">
        <f t="shared" ca="1" si="16"/>
        <v/>
      </c>
      <c r="DZ5" s="99" t="str">
        <f t="shared" ca="1" si="17"/>
        <v/>
      </c>
      <c r="EA5" s="99">
        <f t="shared" ca="1" si="18"/>
        <v>7</v>
      </c>
      <c r="EB5" s="99">
        <f t="shared" ca="1" si="19"/>
        <v>7</v>
      </c>
      <c r="EC5" s="99">
        <f t="shared" ca="1" si="20"/>
        <v>7</v>
      </c>
      <c r="ED5" s="99" t="str">
        <f t="shared" ca="1" si="21"/>
        <v/>
      </c>
      <c r="EE5" s="99">
        <f t="shared" ca="1" si="22"/>
        <v>1</v>
      </c>
      <c r="EF5" s="99">
        <f t="shared" ca="1" si="23"/>
        <v>1</v>
      </c>
      <c r="EG5" s="99">
        <f t="shared" ca="1" si="24"/>
        <v>1</v>
      </c>
      <c r="EH5" s="99">
        <f t="shared" ca="1" si="25"/>
        <v>1</v>
      </c>
      <c r="EI5" s="99">
        <f t="shared" ca="1" si="26"/>
        <v>1</v>
      </c>
      <c r="EJ5" s="99">
        <f t="shared" ca="1" si="27"/>
        <v>1</v>
      </c>
      <c r="EK5" s="99">
        <f t="shared" ca="1" si="28"/>
        <v>1</v>
      </c>
      <c r="EL5" s="99">
        <f t="shared" ca="1" si="29"/>
        <v>1</v>
      </c>
      <c r="EM5" s="99">
        <f t="shared" ca="1" si="30"/>
        <v>1</v>
      </c>
      <c r="EN5" s="99">
        <f t="shared" ca="1" si="31"/>
        <v>1</v>
      </c>
      <c r="EO5" s="99">
        <f t="shared" ca="1" si="32"/>
        <v>1</v>
      </c>
      <c r="EP5" s="99">
        <f t="shared" ca="1" si="33"/>
        <v>1</v>
      </c>
    </row>
    <row r="6" spans="1:146" x14ac:dyDescent="0.25">
      <c r="A6" s="70" t="s">
        <v>59</v>
      </c>
      <c r="B6" s="71">
        <f ca="1">IFERROR(MAX(Proj_Numb)+1,1)</f>
        <v>13</v>
      </c>
      <c r="C6" s="5"/>
      <c r="D6" s="6" t="s">
        <v>2</v>
      </c>
      <c r="E6" s="8"/>
      <c r="F6" s="5"/>
      <c r="G6" s="5"/>
      <c r="H6" s="122"/>
      <c r="I6" s="123"/>
      <c r="J6" s="100"/>
      <c r="K6" s="15"/>
      <c r="L6" s="5"/>
      <c r="M6" s="104"/>
      <c r="N6" s="5"/>
      <c r="O6" s="37" t="str">
        <f>Resources!A5</f>
        <v>Lisa Leslie</v>
      </c>
      <c r="P6" s="15"/>
      <c r="Q6" s="15"/>
      <c r="R6" s="15"/>
      <c r="S6" s="15"/>
      <c r="T6" s="15"/>
      <c r="U6" s="15"/>
      <c r="V6" s="15"/>
      <c r="W6" s="15"/>
      <c r="X6" s="15" t="s">
        <v>97</v>
      </c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54"/>
      <c r="AV6" s="5"/>
      <c r="BB6" s="61" t="s">
        <v>2</v>
      </c>
      <c r="BC6" s="72">
        <v>3</v>
      </c>
      <c r="BD6" s="62"/>
      <c r="BE6" s="62"/>
      <c r="BF6" s="62"/>
      <c r="BG6" s="62"/>
      <c r="DL6" s="99" t="str">
        <f t="shared" ca="1" si="3"/>
        <v/>
      </c>
      <c r="DM6" s="99" t="str">
        <f t="shared" ca="1" si="4"/>
        <v/>
      </c>
      <c r="DN6" s="99" t="str">
        <f t="shared" ca="1" si="5"/>
        <v/>
      </c>
      <c r="DO6" s="99" t="str">
        <f t="shared" ca="1" si="6"/>
        <v/>
      </c>
      <c r="DP6" s="99" t="str">
        <f t="shared" ca="1" si="7"/>
        <v/>
      </c>
      <c r="DQ6" s="99" t="str">
        <f t="shared" ca="1" si="8"/>
        <v/>
      </c>
      <c r="DR6" s="99" t="str">
        <f t="shared" ca="1" si="9"/>
        <v/>
      </c>
      <c r="DS6" s="99" t="str">
        <f t="shared" ca="1" si="10"/>
        <v/>
      </c>
      <c r="DT6" s="99">
        <f t="shared" ca="1" si="11"/>
        <v>5</v>
      </c>
      <c r="DU6" s="99">
        <f t="shared" ca="1" si="12"/>
        <v>5</v>
      </c>
      <c r="DV6" s="99">
        <f t="shared" ca="1" si="13"/>
        <v>5</v>
      </c>
      <c r="DW6" s="99">
        <f t="shared" ca="1" si="14"/>
        <v>5</v>
      </c>
      <c r="DX6" s="99">
        <f t="shared" ca="1" si="15"/>
        <v>5</v>
      </c>
      <c r="DY6" s="99">
        <f t="shared" ca="1" si="16"/>
        <v>5</v>
      </c>
      <c r="DZ6" s="99">
        <f t="shared" ca="1" si="17"/>
        <v>5</v>
      </c>
      <c r="EA6" s="99">
        <f t="shared" ca="1" si="18"/>
        <v>5</v>
      </c>
      <c r="EB6" s="99" t="str">
        <f t="shared" ca="1" si="19"/>
        <v/>
      </c>
      <c r="EC6" s="99" t="str">
        <f t="shared" ca="1" si="20"/>
        <v/>
      </c>
      <c r="ED6" s="99" t="str">
        <f t="shared" ca="1" si="21"/>
        <v/>
      </c>
      <c r="EE6" s="99" t="str">
        <f t="shared" ca="1" si="22"/>
        <v/>
      </c>
      <c r="EF6" s="99" t="str">
        <f t="shared" ca="1" si="23"/>
        <v/>
      </c>
      <c r="EG6" s="99" t="str">
        <f t="shared" ca="1" si="24"/>
        <v/>
      </c>
      <c r="EH6" s="99" t="str">
        <f t="shared" ca="1" si="25"/>
        <v/>
      </c>
      <c r="EI6" s="99" t="str">
        <f t="shared" ca="1" si="26"/>
        <v/>
      </c>
      <c r="EJ6" s="99" t="str">
        <f t="shared" ca="1" si="27"/>
        <v/>
      </c>
      <c r="EK6" s="99" t="str">
        <f t="shared" ca="1" si="28"/>
        <v/>
      </c>
      <c r="EL6" s="99" t="str">
        <f t="shared" ca="1" si="29"/>
        <v/>
      </c>
      <c r="EM6" s="99" t="str">
        <f t="shared" ca="1" si="30"/>
        <v/>
      </c>
      <c r="EN6" s="99" t="str">
        <f t="shared" ca="1" si="31"/>
        <v/>
      </c>
      <c r="EO6" s="99" t="str">
        <f t="shared" ca="1" si="32"/>
        <v/>
      </c>
      <c r="EP6" s="99" t="str">
        <f t="shared" ca="1" si="33"/>
        <v/>
      </c>
    </row>
    <row r="7" spans="1:146" x14ac:dyDescent="0.25">
      <c r="A7" s="2"/>
      <c r="B7" s="2"/>
      <c r="C7" s="5"/>
      <c r="D7" s="5"/>
      <c r="E7" s="5"/>
      <c r="F7" s="5"/>
      <c r="G7" s="5"/>
      <c r="H7" s="124"/>
      <c r="I7" s="125"/>
      <c r="J7" s="100"/>
      <c r="K7" s="15"/>
      <c r="L7" s="5"/>
      <c r="M7" s="19" t="s">
        <v>95</v>
      </c>
      <c r="N7" s="5"/>
      <c r="O7" s="37" t="str">
        <f>Resources!A6</f>
        <v>David Davidson</v>
      </c>
      <c r="P7" s="15"/>
      <c r="Q7" s="15" t="s">
        <v>111</v>
      </c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54"/>
      <c r="AV7" s="5"/>
      <c r="BB7" s="62"/>
      <c r="BC7" s="79"/>
      <c r="BD7" s="62"/>
      <c r="BE7" s="62"/>
      <c r="BF7" s="62"/>
      <c r="BG7" s="62"/>
      <c r="DL7" s="99" t="str">
        <f t="shared" ca="1" si="3"/>
        <v/>
      </c>
      <c r="DM7" s="99">
        <f t="shared" ca="1" si="4"/>
        <v>11</v>
      </c>
      <c r="DN7" s="99">
        <f t="shared" ca="1" si="5"/>
        <v>11</v>
      </c>
      <c r="DO7" s="99">
        <f t="shared" ca="1" si="6"/>
        <v>11</v>
      </c>
      <c r="DP7" s="99">
        <f t="shared" ca="1" si="7"/>
        <v>11</v>
      </c>
      <c r="DQ7" s="99">
        <f t="shared" ca="1" si="8"/>
        <v>11</v>
      </c>
      <c r="DR7" s="99">
        <f t="shared" ca="1" si="9"/>
        <v>11</v>
      </c>
      <c r="DS7" s="99">
        <f t="shared" ca="1" si="10"/>
        <v>11</v>
      </c>
      <c r="DT7" s="99">
        <f t="shared" ca="1" si="11"/>
        <v>11</v>
      </c>
      <c r="DU7" s="99">
        <f t="shared" ca="1" si="12"/>
        <v>11</v>
      </c>
      <c r="DV7" s="99">
        <f t="shared" ca="1" si="13"/>
        <v>11</v>
      </c>
      <c r="DW7" s="99">
        <f t="shared" ca="1" si="14"/>
        <v>11</v>
      </c>
      <c r="DX7" s="99">
        <f t="shared" ca="1" si="15"/>
        <v>11</v>
      </c>
      <c r="DY7" s="99">
        <f t="shared" ca="1" si="16"/>
        <v>11</v>
      </c>
      <c r="DZ7" s="99">
        <f t="shared" ca="1" si="17"/>
        <v>11</v>
      </c>
      <c r="EA7" s="99">
        <f t="shared" ca="1" si="18"/>
        <v>11</v>
      </c>
      <c r="EB7" s="99">
        <f t="shared" ca="1" si="19"/>
        <v>11</v>
      </c>
      <c r="EC7" s="99" t="str">
        <f t="shared" ca="1" si="20"/>
        <v/>
      </c>
      <c r="ED7" s="99" t="str">
        <f t="shared" ca="1" si="21"/>
        <v/>
      </c>
      <c r="EE7" s="99" t="str">
        <f t="shared" ca="1" si="22"/>
        <v/>
      </c>
      <c r="EF7" s="99" t="str">
        <f t="shared" ca="1" si="23"/>
        <v/>
      </c>
      <c r="EG7" s="99" t="str">
        <f t="shared" ca="1" si="24"/>
        <v/>
      </c>
      <c r="EH7" s="99" t="str">
        <f t="shared" ca="1" si="25"/>
        <v/>
      </c>
      <c r="EI7" s="99" t="str">
        <f t="shared" ca="1" si="26"/>
        <v/>
      </c>
      <c r="EJ7" s="99" t="str">
        <f t="shared" ca="1" si="27"/>
        <v/>
      </c>
      <c r="EK7" s="99" t="str">
        <f t="shared" ca="1" si="28"/>
        <v/>
      </c>
      <c r="EL7" s="99" t="str">
        <f t="shared" ca="1" si="29"/>
        <v/>
      </c>
      <c r="EM7" s="99" t="str">
        <f t="shared" ca="1" si="30"/>
        <v/>
      </c>
      <c r="EN7" s="99" t="str">
        <f t="shared" ca="1" si="31"/>
        <v/>
      </c>
      <c r="EO7" s="99" t="str">
        <f t="shared" ca="1" si="32"/>
        <v/>
      </c>
      <c r="EP7" s="99" t="str">
        <f t="shared" ca="1" si="33"/>
        <v/>
      </c>
    </row>
    <row r="8" spans="1:146" x14ac:dyDescent="0.25">
      <c r="A8" s="2"/>
      <c r="B8" s="2"/>
      <c r="C8" s="5"/>
      <c r="D8" s="6" t="s">
        <v>3</v>
      </c>
      <c r="E8" s="74"/>
      <c r="F8" s="5"/>
      <c r="G8" s="5"/>
      <c r="H8" s="124"/>
      <c r="I8" s="125"/>
      <c r="J8" s="100"/>
      <c r="K8" s="15"/>
      <c r="L8" s="5"/>
      <c r="M8" s="102"/>
      <c r="N8" s="5"/>
      <c r="O8" s="37" t="str">
        <f>Resources!A7</f>
        <v>Mark Mathers</v>
      </c>
      <c r="P8" s="15"/>
      <c r="Q8" s="15"/>
      <c r="R8" s="15"/>
      <c r="S8" s="15" t="s">
        <v>114</v>
      </c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54"/>
      <c r="AV8" s="5"/>
      <c r="BB8" s="61" t="s">
        <v>3</v>
      </c>
      <c r="BC8" s="72">
        <v>4</v>
      </c>
      <c r="BD8" s="62"/>
      <c r="BE8" s="62"/>
      <c r="BF8" s="62"/>
      <c r="BG8" s="62"/>
      <c r="DL8" s="99" t="str">
        <f t="shared" ca="1" si="3"/>
        <v/>
      </c>
      <c r="DM8" s="99" t="str">
        <f t="shared" ca="1" si="4"/>
        <v/>
      </c>
      <c r="DN8" s="99" t="str">
        <f t="shared" ca="1" si="5"/>
        <v/>
      </c>
      <c r="DO8" s="99">
        <f t="shared" ca="1" si="6"/>
        <v>12</v>
      </c>
      <c r="DP8" s="99">
        <f t="shared" ca="1" si="7"/>
        <v>12</v>
      </c>
      <c r="DQ8" s="99">
        <f t="shared" ca="1" si="8"/>
        <v>12</v>
      </c>
      <c r="DR8" s="99">
        <f t="shared" ca="1" si="9"/>
        <v>12</v>
      </c>
      <c r="DS8" s="99">
        <f t="shared" ca="1" si="10"/>
        <v>12</v>
      </c>
      <c r="DT8" s="99" t="str">
        <f t="shared" ca="1" si="11"/>
        <v/>
      </c>
      <c r="DU8" s="99" t="str">
        <f t="shared" ca="1" si="12"/>
        <v/>
      </c>
      <c r="DV8" s="99" t="str">
        <f t="shared" ca="1" si="13"/>
        <v/>
      </c>
      <c r="DW8" s="99" t="str">
        <f t="shared" ca="1" si="14"/>
        <v/>
      </c>
      <c r="DX8" s="99" t="str">
        <f t="shared" ca="1" si="15"/>
        <v/>
      </c>
      <c r="DY8" s="99" t="str">
        <f t="shared" ca="1" si="16"/>
        <v/>
      </c>
      <c r="DZ8" s="99" t="str">
        <f t="shared" ca="1" si="17"/>
        <v/>
      </c>
      <c r="EA8" s="99" t="str">
        <f t="shared" ca="1" si="18"/>
        <v/>
      </c>
      <c r="EB8" s="99" t="str">
        <f t="shared" ca="1" si="19"/>
        <v/>
      </c>
      <c r="EC8" s="99" t="str">
        <f t="shared" ca="1" si="20"/>
        <v/>
      </c>
      <c r="ED8" s="99" t="str">
        <f t="shared" ca="1" si="21"/>
        <v/>
      </c>
      <c r="EE8" s="99" t="str">
        <f t="shared" ca="1" si="22"/>
        <v/>
      </c>
      <c r="EF8" s="99" t="str">
        <f t="shared" ca="1" si="23"/>
        <v/>
      </c>
      <c r="EG8" s="99" t="str">
        <f t="shared" ca="1" si="24"/>
        <v/>
      </c>
      <c r="EH8" s="99" t="str">
        <f t="shared" ca="1" si="25"/>
        <v/>
      </c>
      <c r="EI8" s="99" t="str">
        <f t="shared" ca="1" si="26"/>
        <v/>
      </c>
      <c r="EJ8" s="99" t="str">
        <f t="shared" ca="1" si="27"/>
        <v/>
      </c>
      <c r="EK8" s="99" t="str">
        <f t="shared" ca="1" si="28"/>
        <v/>
      </c>
      <c r="EL8" s="99" t="str">
        <f t="shared" ca="1" si="29"/>
        <v/>
      </c>
      <c r="EM8" s="99" t="str">
        <f t="shared" ca="1" si="30"/>
        <v/>
      </c>
      <c r="EN8" s="99" t="str">
        <f t="shared" ca="1" si="31"/>
        <v/>
      </c>
      <c r="EO8" s="99" t="str">
        <f t="shared" ca="1" si="32"/>
        <v/>
      </c>
      <c r="EP8" s="99" t="str">
        <f t="shared" ca="1" si="33"/>
        <v/>
      </c>
    </row>
    <row r="9" spans="1:146" x14ac:dyDescent="0.25">
      <c r="A9" s="2"/>
      <c r="B9" s="2"/>
      <c r="C9" s="5"/>
      <c r="D9" s="5"/>
      <c r="E9" s="5"/>
      <c r="F9" s="5"/>
      <c r="G9" s="5"/>
      <c r="H9" s="124"/>
      <c r="I9" s="125"/>
      <c r="J9" s="100"/>
      <c r="K9" s="15"/>
      <c r="L9" s="5"/>
      <c r="M9" s="5"/>
      <c r="N9" s="5"/>
      <c r="O9" s="37" t="str">
        <f>Resources!A8</f>
        <v>Peter Rabbit</v>
      </c>
      <c r="P9" s="15"/>
      <c r="Q9" s="15"/>
      <c r="R9" s="15"/>
      <c r="S9" s="15"/>
      <c r="T9" s="15"/>
      <c r="U9" s="15"/>
      <c r="V9" s="15"/>
      <c r="W9" s="15" t="s">
        <v>108</v>
      </c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54"/>
      <c r="AV9" s="5"/>
      <c r="BB9" s="62"/>
      <c r="BC9" s="79"/>
      <c r="BD9" s="62"/>
      <c r="BE9" s="62"/>
      <c r="BF9" s="62"/>
      <c r="BG9" s="62"/>
      <c r="DL9" s="99" t="str">
        <f t="shared" ca="1" si="3"/>
        <v/>
      </c>
      <c r="DM9" s="99" t="str">
        <f t="shared" ca="1" si="4"/>
        <v/>
      </c>
      <c r="DN9" s="99" t="str">
        <f t="shared" ca="1" si="5"/>
        <v/>
      </c>
      <c r="DO9" s="99" t="str">
        <f t="shared" ca="1" si="6"/>
        <v/>
      </c>
      <c r="DP9" s="99" t="str">
        <f t="shared" ca="1" si="7"/>
        <v/>
      </c>
      <c r="DQ9" s="99" t="str">
        <f t="shared" ca="1" si="8"/>
        <v/>
      </c>
      <c r="DR9" s="99" t="str">
        <f t="shared" ca="1" si="9"/>
        <v/>
      </c>
      <c r="DS9" s="99">
        <f t="shared" ca="1" si="10"/>
        <v>10</v>
      </c>
      <c r="DT9" s="99">
        <f t="shared" ca="1" si="11"/>
        <v>10</v>
      </c>
      <c r="DU9" s="99">
        <f t="shared" ca="1" si="12"/>
        <v>10</v>
      </c>
      <c r="DV9" s="99">
        <f t="shared" ca="1" si="13"/>
        <v>10</v>
      </c>
      <c r="DW9" s="99">
        <f t="shared" ca="1" si="14"/>
        <v>10</v>
      </c>
      <c r="DX9" s="99">
        <f t="shared" ca="1" si="15"/>
        <v>10</v>
      </c>
      <c r="DY9" s="99">
        <f t="shared" ca="1" si="16"/>
        <v>10</v>
      </c>
      <c r="DZ9" s="99" t="str">
        <f t="shared" ca="1" si="17"/>
        <v/>
      </c>
      <c r="EA9" s="99" t="str">
        <f t="shared" ca="1" si="18"/>
        <v/>
      </c>
      <c r="EB9" s="99" t="str">
        <f t="shared" ca="1" si="19"/>
        <v/>
      </c>
      <c r="EC9" s="99" t="str">
        <f t="shared" ca="1" si="20"/>
        <v/>
      </c>
      <c r="ED9" s="99" t="str">
        <f t="shared" ca="1" si="21"/>
        <v/>
      </c>
      <c r="EE9" s="99" t="str">
        <f t="shared" ca="1" si="22"/>
        <v/>
      </c>
      <c r="EF9" s="99" t="str">
        <f t="shared" ca="1" si="23"/>
        <v/>
      </c>
      <c r="EG9" s="99" t="str">
        <f t="shared" ca="1" si="24"/>
        <v/>
      </c>
      <c r="EH9" s="99" t="str">
        <f t="shared" ca="1" si="25"/>
        <v/>
      </c>
      <c r="EI9" s="99" t="str">
        <f t="shared" ca="1" si="26"/>
        <v/>
      </c>
      <c r="EJ9" s="99" t="str">
        <f t="shared" ca="1" si="27"/>
        <v/>
      </c>
      <c r="EK9" s="99" t="str">
        <f t="shared" ca="1" si="28"/>
        <v/>
      </c>
      <c r="EL9" s="99" t="str">
        <f t="shared" ca="1" si="29"/>
        <v/>
      </c>
      <c r="EM9" s="99" t="str">
        <f t="shared" ca="1" si="30"/>
        <v/>
      </c>
      <c r="EN9" s="99" t="str">
        <f t="shared" ca="1" si="31"/>
        <v/>
      </c>
      <c r="EO9" s="99" t="str">
        <f t="shared" ca="1" si="32"/>
        <v/>
      </c>
      <c r="EP9" s="99" t="str">
        <f t="shared" ca="1" si="33"/>
        <v/>
      </c>
    </row>
    <row r="10" spans="1:146" x14ac:dyDescent="0.25">
      <c r="A10" s="2"/>
      <c r="B10" s="2"/>
      <c r="C10" s="5"/>
      <c r="D10" s="6" t="s">
        <v>5</v>
      </c>
      <c r="E10" s="8"/>
      <c r="F10" s="5"/>
      <c r="G10" s="5"/>
      <c r="H10" s="134"/>
      <c r="I10" s="134"/>
      <c r="J10" s="100"/>
      <c r="K10" s="15"/>
      <c r="L10" s="5"/>
      <c r="M10" s="5"/>
      <c r="N10" s="5"/>
      <c r="O10" s="37" t="str">
        <f>Resources!A9</f>
        <v>Charlie Brown</v>
      </c>
      <c r="P10" s="15"/>
      <c r="Q10" s="15"/>
      <c r="R10" s="15"/>
      <c r="S10" s="15"/>
      <c r="T10" s="15"/>
      <c r="U10" s="15"/>
      <c r="V10" s="15"/>
      <c r="W10" s="15" t="s">
        <v>108</v>
      </c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54"/>
      <c r="AV10" s="5"/>
      <c r="BB10" s="61" t="s">
        <v>5</v>
      </c>
      <c r="BC10" s="72">
        <v>5</v>
      </c>
      <c r="BD10" s="62"/>
      <c r="BE10" s="62"/>
      <c r="BF10" s="62"/>
      <c r="BG10" s="62"/>
      <c r="DL10" s="99" t="str">
        <f t="shared" ca="1" si="3"/>
        <v/>
      </c>
      <c r="DM10" s="99" t="str">
        <f t="shared" ca="1" si="4"/>
        <v/>
      </c>
      <c r="DN10" s="99" t="str">
        <f t="shared" ca="1" si="5"/>
        <v/>
      </c>
      <c r="DO10" s="99" t="str">
        <f t="shared" ca="1" si="6"/>
        <v/>
      </c>
      <c r="DP10" s="99" t="str">
        <f t="shared" ca="1" si="7"/>
        <v/>
      </c>
      <c r="DQ10" s="99" t="str">
        <f t="shared" ca="1" si="8"/>
        <v/>
      </c>
      <c r="DR10" s="99" t="str">
        <f t="shared" ca="1" si="9"/>
        <v/>
      </c>
      <c r="DS10" s="99">
        <f t="shared" ca="1" si="10"/>
        <v>10</v>
      </c>
      <c r="DT10" s="99">
        <f t="shared" ca="1" si="11"/>
        <v>10</v>
      </c>
      <c r="DU10" s="99">
        <f t="shared" ca="1" si="12"/>
        <v>10</v>
      </c>
      <c r="DV10" s="99">
        <f t="shared" ca="1" si="13"/>
        <v>10</v>
      </c>
      <c r="DW10" s="99">
        <f t="shared" ca="1" si="14"/>
        <v>10</v>
      </c>
      <c r="DX10" s="99">
        <f t="shared" ca="1" si="15"/>
        <v>10</v>
      </c>
      <c r="DY10" s="99">
        <f t="shared" ca="1" si="16"/>
        <v>10</v>
      </c>
      <c r="DZ10" s="99" t="str">
        <f t="shared" ca="1" si="17"/>
        <v/>
      </c>
      <c r="EA10" s="99" t="str">
        <f t="shared" ca="1" si="18"/>
        <v/>
      </c>
      <c r="EB10" s="99" t="str">
        <f t="shared" ca="1" si="19"/>
        <v/>
      </c>
      <c r="EC10" s="99" t="str">
        <f t="shared" ca="1" si="20"/>
        <v/>
      </c>
      <c r="ED10" s="99" t="str">
        <f t="shared" ca="1" si="21"/>
        <v/>
      </c>
      <c r="EE10" s="99" t="str">
        <f t="shared" ca="1" si="22"/>
        <v/>
      </c>
      <c r="EF10" s="99" t="str">
        <f t="shared" ca="1" si="23"/>
        <v/>
      </c>
      <c r="EG10" s="99" t="str">
        <f t="shared" ca="1" si="24"/>
        <v/>
      </c>
      <c r="EH10" s="99" t="str">
        <f t="shared" ca="1" si="25"/>
        <v/>
      </c>
      <c r="EI10" s="99" t="str">
        <f t="shared" ca="1" si="26"/>
        <v/>
      </c>
      <c r="EJ10" s="99" t="str">
        <f t="shared" ca="1" si="27"/>
        <v/>
      </c>
      <c r="EK10" s="99" t="str">
        <f t="shared" ca="1" si="28"/>
        <v/>
      </c>
      <c r="EL10" s="99" t="str">
        <f t="shared" ca="1" si="29"/>
        <v/>
      </c>
      <c r="EM10" s="99" t="str">
        <f t="shared" ca="1" si="30"/>
        <v/>
      </c>
      <c r="EN10" s="99" t="str">
        <f t="shared" ca="1" si="31"/>
        <v/>
      </c>
      <c r="EO10" s="99" t="str">
        <f t="shared" ca="1" si="32"/>
        <v/>
      </c>
      <c r="EP10" s="99" t="str">
        <f t="shared" ca="1" si="33"/>
        <v/>
      </c>
    </row>
    <row r="11" spans="1:146" x14ac:dyDescent="0.25">
      <c r="A11" s="2"/>
      <c r="B11" s="2"/>
      <c r="C11" s="5"/>
      <c r="D11" s="5"/>
      <c r="E11" s="5"/>
      <c r="F11" s="5"/>
      <c r="G11" s="5"/>
      <c r="H11" s="134"/>
      <c r="I11" s="134"/>
      <c r="J11" s="100"/>
      <c r="K11" s="15"/>
      <c r="L11" s="5"/>
      <c r="M11" s="5"/>
      <c r="N11" s="5"/>
      <c r="O11" s="37" t="str">
        <f>Resources!A10</f>
        <v>Lucy Lee</v>
      </c>
      <c r="P11" s="15"/>
      <c r="Q11" s="15"/>
      <c r="R11" s="15"/>
      <c r="S11" s="15"/>
      <c r="T11" s="15" t="s">
        <v>106</v>
      </c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54"/>
      <c r="AV11" s="5"/>
      <c r="BB11" s="62"/>
      <c r="BC11" s="79"/>
      <c r="BD11" s="62"/>
      <c r="BE11" s="62"/>
      <c r="BF11" s="62"/>
      <c r="BG11" s="62"/>
      <c r="DL11" s="99" t="str">
        <f t="shared" ca="1" si="3"/>
        <v/>
      </c>
      <c r="DM11" s="99" t="str">
        <f t="shared" ca="1" si="4"/>
        <v/>
      </c>
      <c r="DN11" s="99" t="str">
        <f t="shared" ca="1" si="5"/>
        <v/>
      </c>
      <c r="DO11" s="99" t="str">
        <f t="shared" ca="1" si="6"/>
        <v/>
      </c>
      <c r="DP11" s="99">
        <f t="shared" ca="1" si="7"/>
        <v>9</v>
      </c>
      <c r="DQ11" s="99">
        <f t="shared" ca="1" si="8"/>
        <v>9</v>
      </c>
      <c r="DR11" s="99">
        <f t="shared" ca="1" si="9"/>
        <v>9</v>
      </c>
      <c r="DS11" s="99">
        <f t="shared" ca="1" si="10"/>
        <v>9</v>
      </c>
      <c r="DT11" s="99">
        <f t="shared" ca="1" si="11"/>
        <v>9</v>
      </c>
      <c r="DU11" s="99">
        <f t="shared" ca="1" si="12"/>
        <v>9</v>
      </c>
      <c r="DV11" s="99" t="str">
        <f t="shared" ca="1" si="13"/>
        <v/>
      </c>
      <c r="DW11" s="99" t="str">
        <f t="shared" ca="1" si="14"/>
        <v/>
      </c>
      <c r="DX11" s="99" t="str">
        <f t="shared" ca="1" si="15"/>
        <v/>
      </c>
      <c r="DY11" s="99" t="str">
        <f t="shared" ca="1" si="16"/>
        <v/>
      </c>
      <c r="DZ11" s="99" t="str">
        <f t="shared" ca="1" si="17"/>
        <v/>
      </c>
      <c r="EA11" s="99" t="str">
        <f t="shared" ca="1" si="18"/>
        <v/>
      </c>
      <c r="EB11" s="99" t="str">
        <f t="shared" ca="1" si="19"/>
        <v/>
      </c>
      <c r="EC11" s="99" t="str">
        <f t="shared" ca="1" si="20"/>
        <v/>
      </c>
      <c r="ED11" s="99" t="str">
        <f t="shared" ca="1" si="21"/>
        <v/>
      </c>
      <c r="EE11" s="99" t="str">
        <f t="shared" ca="1" si="22"/>
        <v/>
      </c>
      <c r="EF11" s="99" t="str">
        <f t="shared" ca="1" si="23"/>
        <v/>
      </c>
      <c r="EG11" s="99" t="str">
        <f t="shared" ca="1" si="24"/>
        <v/>
      </c>
      <c r="EH11" s="99" t="str">
        <f t="shared" ca="1" si="25"/>
        <v/>
      </c>
      <c r="EI11" s="99" t="str">
        <f t="shared" ca="1" si="26"/>
        <v/>
      </c>
      <c r="EJ11" s="99" t="str">
        <f t="shared" ca="1" si="27"/>
        <v/>
      </c>
      <c r="EK11" s="99" t="str">
        <f t="shared" ca="1" si="28"/>
        <v/>
      </c>
      <c r="EL11" s="99" t="str">
        <f t="shared" ca="1" si="29"/>
        <v/>
      </c>
      <c r="EM11" s="99" t="str">
        <f t="shared" ca="1" si="30"/>
        <v/>
      </c>
      <c r="EN11" s="99" t="str">
        <f t="shared" ca="1" si="31"/>
        <v/>
      </c>
      <c r="EO11" s="99" t="str">
        <f t="shared" ca="1" si="32"/>
        <v/>
      </c>
      <c r="EP11" s="99" t="str">
        <f t="shared" ca="1" si="33"/>
        <v/>
      </c>
    </row>
    <row r="12" spans="1:146" x14ac:dyDescent="0.25">
      <c r="A12" s="2"/>
      <c r="B12" s="2"/>
      <c r="C12" s="5"/>
      <c r="D12" s="6" t="s">
        <v>6</v>
      </c>
      <c r="E12" s="74"/>
      <c r="F12" s="5"/>
      <c r="G12" s="5"/>
      <c r="H12" s="134"/>
      <c r="I12" s="134"/>
      <c r="J12" s="100"/>
      <c r="K12" s="15"/>
      <c r="L12" s="5"/>
      <c r="M12" s="5"/>
      <c r="N12" s="5"/>
      <c r="O12" s="37" t="str">
        <f>Resources!A11</f>
        <v>Daniel Damon</v>
      </c>
      <c r="P12" s="15"/>
      <c r="Q12" s="15" t="s">
        <v>103</v>
      </c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54"/>
      <c r="AV12" s="5"/>
      <c r="BB12" s="61" t="s">
        <v>6</v>
      </c>
      <c r="BC12" s="72">
        <v>6</v>
      </c>
      <c r="BD12" s="62"/>
      <c r="BE12" s="62"/>
      <c r="BF12" s="62"/>
      <c r="BG12" s="62"/>
      <c r="DL12" s="99" t="str">
        <f t="shared" ca="1" si="3"/>
        <v/>
      </c>
      <c r="DM12" s="99">
        <f t="shared" ca="1" si="4"/>
        <v>8</v>
      </c>
      <c r="DN12" s="99">
        <f t="shared" ca="1" si="5"/>
        <v>8</v>
      </c>
      <c r="DO12" s="99">
        <f t="shared" ca="1" si="6"/>
        <v>8</v>
      </c>
      <c r="DP12" s="99">
        <f t="shared" ca="1" si="7"/>
        <v>8</v>
      </c>
      <c r="DQ12" s="99">
        <f t="shared" ca="1" si="8"/>
        <v>8</v>
      </c>
      <c r="DR12" s="99">
        <f t="shared" ca="1" si="9"/>
        <v>8</v>
      </c>
      <c r="DS12" s="99">
        <f t="shared" ca="1" si="10"/>
        <v>8</v>
      </c>
      <c r="DT12" s="99">
        <f t="shared" ca="1" si="11"/>
        <v>8</v>
      </c>
      <c r="DU12" s="99" t="str">
        <f t="shared" ca="1" si="12"/>
        <v/>
      </c>
      <c r="DV12" s="99" t="str">
        <f t="shared" ca="1" si="13"/>
        <v/>
      </c>
      <c r="DW12" s="99" t="str">
        <f t="shared" ca="1" si="14"/>
        <v/>
      </c>
      <c r="DX12" s="99" t="str">
        <f t="shared" ca="1" si="15"/>
        <v/>
      </c>
      <c r="DY12" s="99" t="str">
        <f t="shared" ca="1" si="16"/>
        <v/>
      </c>
      <c r="DZ12" s="99" t="str">
        <f t="shared" ca="1" si="17"/>
        <v/>
      </c>
      <c r="EA12" s="99" t="str">
        <f t="shared" ca="1" si="18"/>
        <v/>
      </c>
      <c r="EB12" s="99" t="str">
        <f t="shared" ca="1" si="19"/>
        <v/>
      </c>
      <c r="EC12" s="99" t="str">
        <f t="shared" ca="1" si="20"/>
        <v/>
      </c>
      <c r="ED12" s="99" t="str">
        <f t="shared" ca="1" si="21"/>
        <v/>
      </c>
      <c r="EE12" s="99" t="str">
        <f t="shared" ca="1" si="22"/>
        <v/>
      </c>
      <c r="EF12" s="99" t="str">
        <f t="shared" ca="1" si="23"/>
        <v/>
      </c>
      <c r="EG12" s="99" t="str">
        <f t="shared" ca="1" si="24"/>
        <v/>
      </c>
      <c r="EH12" s="99" t="str">
        <f t="shared" ca="1" si="25"/>
        <v/>
      </c>
      <c r="EI12" s="99" t="str">
        <f t="shared" ca="1" si="26"/>
        <v/>
      </c>
      <c r="EJ12" s="99" t="str">
        <f t="shared" ca="1" si="27"/>
        <v/>
      </c>
      <c r="EK12" s="99" t="str">
        <f t="shared" ca="1" si="28"/>
        <v/>
      </c>
      <c r="EL12" s="99" t="str">
        <f t="shared" ca="1" si="29"/>
        <v/>
      </c>
      <c r="EM12" s="99" t="str">
        <f t="shared" ca="1" si="30"/>
        <v/>
      </c>
      <c r="EN12" s="99" t="str">
        <f t="shared" ca="1" si="31"/>
        <v/>
      </c>
      <c r="EO12" s="99" t="str">
        <f t="shared" ca="1" si="32"/>
        <v/>
      </c>
      <c r="EP12" s="99" t="str">
        <f t="shared" ca="1" si="33"/>
        <v/>
      </c>
    </row>
    <row r="13" spans="1:146" x14ac:dyDescent="0.25">
      <c r="A13" s="2"/>
      <c r="B13" s="2"/>
      <c r="C13" s="5"/>
      <c r="D13" s="1"/>
      <c r="E13" s="5"/>
      <c r="F13" s="5"/>
      <c r="G13" s="5"/>
      <c r="H13" s="5"/>
      <c r="I13" s="5"/>
      <c r="J13" s="18"/>
      <c r="K13" s="15"/>
      <c r="L13" s="5"/>
      <c r="M13" s="5"/>
      <c r="N13" s="5"/>
      <c r="O13" s="37" t="str">
        <f>Resources!A12</f>
        <v>George Risen</v>
      </c>
      <c r="P13" s="15"/>
      <c r="Q13" s="15" t="s">
        <v>103</v>
      </c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54"/>
      <c r="AV13" s="5"/>
      <c r="BB13" s="63"/>
      <c r="BC13" s="62"/>
      <c r="BD13" s="62"/>
      <c r="BE13" s="62"/>
      <c r="BF13" s="62"/>
      <c r="BG13" s="62"/>
      <c r="DL13" s="99" t="str">
        <f t="shared" ca="1" si="3"/>
        <v/>
      </c>
      <c r="DM13" s="99">
        <f t="shared" ca="1" si="4"/>
        <v>8</v>
      </c>
      <c r="DN13" s="99">
        <f t="shared" ca="1" si="5"/>
        <v>8</v>
      </c>
      <c r="DO13" s="99">
        <f t="shared" ca="1" si="6"/>
        <v>8</v>
      </c>
      <c r="DP13" s="99">
        <f t="shared" ca="1" si="7"/>
        <v>8</v>
      </c>
      <c r="DQ13" s="99">
        <f t="shared" ca="1" si="8"/>
        <v>8</v>
      </c>
      <c r="DR13" s="99">
        <f t="shared" ca="1" si="9"/>
        <v>8</v>
      </c>
      <c r="DS13" s="99">
        <f t="shared" ca="1" si="10"/>
        <v>8</v>
      </c>
      <c r="DT13" s="99">
        <f t="shared" ca="1" si="11"/>
        <v>8</v>
      </c>
      <c r="DU13" s="99" t="str">
        <f t="shared" ca="1" si="12"/>
        <v/>
      </c>
      <c r="DV13" s="99" t="str">
        <f t="shared" ca="1" si="13"/>
        <v/>
      </c>
      <c r="DW13" s="99" t="str">
        <f t="shared" ca="1" si="14"/>
        <v/>
      </c>
      <c r="DX13" s="99" t="str">
        <f t="shared" ca="1" si="15"/>
        <v/>
      </c>
      <c r="DY13" s="99" t="str">
        <f t="shared" ca="1" si="16"/>
        <v/>
      </c>
      <c r="DZ13" s="99" t="str">
        <f t="shared" ca="1" si="17"/>
        <v/>
      </c>
      <c r="EA13" s="99" t="str">
        <f t="shared" ca="1" si="18"/>
        <v/>
      </c>
      <c r="EB13" s="99" t="str">
        <f t="shared" ca="1" si="19"/>
        <v/>
      </c>
      <c r="EC13" s="99" t="str">
        <f t="shared" ca="1" si="20"/>
        <v/>
      </c>
      <c r="ED13" s="99" t="str">
        <f t="shared" ca="1" si="21"/>
        <v/>
      </c>
      <c r="EE13" s="99" t="str">
        <f t="shared" ca="1" si="22"/>
        <v/>
      </c>
      <c r="EF13" s="99" t="str">
        <f t="shared" ca="1" si="23"/>
        <v/>
      </c>
      <c r="EG13" s="99" t="str">
        <f t="shared" ca="1" si="24"/>
        <v/>
      </c>
      <c r="EH13" s="99" t="str">
        <f t="shared" ca="1" si="25"/>
        <v/>
      </c>
      <c r="EI13" s="99" t="str">
        <f t="shared" ca="1" si="26"/>
        <v/>
      </c>
      <c r="EJ13" s="99" t="str">
        <f t="shared" ca="1" si="27"/>
        <v/>
      </c>
      <c r="EK13" s="99" t="str">
        <f t="shared" ca="1" si="28"/>
        <v/>
      </c>
      <c r="EL13" s="99" t="str">
        <f t="shared" ca="1" si="29"/>
        <v/>
      </c>
      <c r="EM13" s="99" t="str">
        <f t="shared" ca="1" si="30"/>
        <v/>
      </c>
      <c r="EN13" s="99" t="str">
        <f t="shared" ca="1" si="31"/>
        <v/>
      </c>
      <c r="EO13" s="99" t="str">
        <f t="shared" ca="1" si="32"/>
        <v/>
      </c>
      <c r="EP13" s="99" t="str">
        <f t="shared" ca="1" si="33"/>
        <v/>
      </c>
    </row>
    <row r="14" spans="1:146" x14ac:dyDescent="0.25">
      <c r="A14" s="2"/>
      <c r="B14" s="2"/>
      <c r="C14" s="5"/>
      <c r="D14" s="22" t="s">
        <v>12</v>
      </c>
      <c r="E14" s="23"/>
      <c r="F14" s="120" t="s">
        <v>22</v>
      </c>
      <c r="G14" s="121"/>
      <c r="H14" s="11"/>
      <c r="I14" s="12"/>
      <c r="J14" s="5"/>
      <c r="K14" s="15"/>
      <c r="L14" s="5"/>
      <c r="M14" s="5"/>
      <c r="N14" s="5"/>
      <c r="O14" s="37" t="str">
        <f>Resources!A13</f>
        <v>Parker Sams</v>
      </c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 t="s">
        <v>101</v>
      </c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54"/>
      <c r="AV14" s="5"/>
      <c r="BB14" s="64" t="s">
        <v>12</v>
      </c>
      <c r="BC14" s="65"/>
      <c r="BD14" s="115" t="s">
        <v>22</v>
      </c>
      <c r="BE14" s="116"/>
      <c r="BF14" s="80">
        <v>8</v>
      </c>
      <c r="BG14" s="81">
        <v>9</v>
      </c>
      <c r="DL14" s="99" t="str">
        <f t="shared" ca="1" si="3"/>
        <v/>
      </c>
      <c r="DM14" s="99" t="str">
        <f t="shared" ca="1" si="4"/>
        <v/>
      </c>
      <c r="DN14" s="99" t="str">
        <f t="shared" ca="1" si="5"/>
        <v/>
      </c>
      <c r="DO14" s="99" t="str">
        <f t="shared" ca="1" si="6"/>
        <v/>
      </c>
      <c r="DP14" s="99" t="str">
        <f t="shared" ca="1" si="7"/>
        <v/>
      </c>
      <c r="DQ14" s="99" t="str">
        <f t="shared" ca="1" si="8"/>
        <v/>
      </c>
      <c r="DR14" s="99" t="str">
        <f t="shared" ca="1" si="9"/>
        <v/>
      </c>
      <c r="DS14" s="99" t="str">
        <f t="shared" ca="1" si="10"/>
        <v/>
      </c>
      <c r="DT14" s="99" t="str">
        <f t="shared" ca="1" si="11"/>
        <v/>
      </c>
      <c r="DU14" s="99" t="str">
        <f t="shared" ca="1" si="12"/>
        <v/>
      </c>
      <c r="DV14" s="99" t="str">
        <f t="shared" ca="1" si="13"/>
        <v/>
      </c>
      <c r="DW14" s="99" t="str">
        <f t="shared" ca="1" si="14"/>
        <v/>
      </c>
      <c r="DX14" s="99" t="str">
        <f t="shared" ca="1" si="15"/>
        <v/>
      </c>
      <c r="DY14" s="99" t="str">
        <f t="shared" ca="1" si="16"/>
        <v/>
      </c>
      <c r="DZ14" s="99" t="str">
        <f t="shared" ca="1" si="17"/>
        <v/>
      </c>
      <c r="EA14" s="99">
        <f t="shared" ca="1" si="18"/>
        <v>7</v>
      </c>
      <c r="EB14" s="99">
        <f t="shared" ca="1" si="19"/>
        <v>7</v>
      </c>
      <c r="EC14" s="99">
        <f t="shared" ca="1" si="20"/>
        <v>7</v>
      </c>
      <c r="ED14" s="99" t="str">
        <f t="shared" ca="1" si="21"/>
        <v/>
      </c>
      <c r="EE14" s="99" t="str">
        <f t="shared" ca="1" si="22"/>
        <v/>
      </c>
      <c r="EF14" s="99" t="str">
        <f t="shared" ca="1" si="23"/>
        <v/>
      </c>
      <c r="EG14" s="99" t="str">
        <f t="shared" ca="1" si="24"/>
        <v/>
      </c>
      <c r="EH14" s="99" t="str">
        <f t="shared" ca="1" si="25"/>
        <v/>
      </c>
      <c r="EI14" s="99" t="str">
        <f t="shared" ca="1" si="26"/>
        <v/>
      </c>
      <c r="EJ14" s="99" t="str">
        <f t="shared" ca="1" si="27"/>
        <v/>
      </c>
      <c r="EK14" s="99" t="str">
        <f t="shared" ca="1" si="28"/>
        <v/>
      </c>
      <c r="EL14" s="99" t="str">
        <f t="shared" ca="1" si="29"/>
        <v/>
      </c>
      <c r="EM14" s="99" t="str">
        <f t="shared" ca="1" si="30"/>
        <v/>
      </c>
      <c r="EN14" s="99" t="str">
        <f t="shared" ca="1" si="31"/>
        <v/>
      </c>
      <c r="EO14" s="99" t="str">
        <f t="shared" ca="1" si="32"/>
        <v/>
      </c>
      <c r="EP14" s="99" t="str">
        <f t="shared" ca="1" si="33"/>
        <v/>
      </c>
    </row>
    <row r="15" spans="1:146" x14ac:dyDescent="0.25">
      <c r="A15" s="2"/>
      <c r="B15" s="2"/>
      <c r="C15" s="5"/>
      <c r="D15" s="135"/>
      <c r="E15" s="136"/>
      <c r="F15" s="136"/>
      <c r="G15" s="136"/>
      <c r="H15" s="136"/>
      <c r="I15" s="137"/>
      <c r="J15" s="18"/>
      <c r="K15" s="15"/>
      <c r="L15" s="5"/>
      <c r="M15" s="5"/>
      <c r="N15" s="5"/>
      <c r="O15" s="37" t="str">
        <f>Resources!A14</f>
        <v>Fred Smith</v>
      </c>
      <c r="P15" s="15"/>
      <c r="Q15" s="15" t="s">
        <v>103</v>
      </c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54"/>
      <c r="AV15" s="5"/>
      <c r="BB15" s="76">
        <v>7</v>
      </c>
      <c r="BC15" s="44"/>
      <c r="BD15" s="45"/>
      <c r="BE15" s="45"/>
      <c r="BF15" s="45"/>
      <c r="BG15" s="46"/>
      <c r="DL15" s="99" t="str">
        <f t="shared" ca="1" si="3"/>
        <v/>
      </c>
      <c r="DM15" s="99">
        <f t="shared" ca="1" si="4"/>
        <v>8</v>
      </c>
      <c r="DN15" s="99">
        <f t="shared" ca="1" si="5"/>
        <v>8</v>
      </c>
      <c r="DO15" s="99">
        <f t="shared" ca="1" si="6"/>
        <v>8</v>
      </c>
      <c r="DP15" s="99">
        <f t="shared" ca="1" si="7"/>
        <v>8</v>
      </c>
      <c r="DQ15" s="99">
        <f t="shared" ca="1" si="8"/>
        <v>8</v>
      </c>
      <c r="DR15" s="99">
        <f t="shared" ca="1" si="9"/>
        <v>8</v>
      </c>
      <c r="DS15" s="99">
        <f t="shared" ca="1" si="10"/>
        <v>8</v>
      </c>
      <c r="DT15" s="99">
        <f t="shared" ca="1" si="11"/>
        <v>8</v>
      </c>
      <c r="DU15" s="99" t="str">
        <f t="shared" ca="1" si="12"/>
        <v/>
      </c>
      <c r="DV15" s="99" t="str">
        <f t="shared" ca="1" si="13"/>
        <v/>
      </c>
      <c r="DW15" s="99" t="str">
        <f t="shared" ca="1" si="14"/>
        <v/>
      </c>
      <c r="DX15" s="99" t="str">
        <f t="shared" ca="1" si="15"/>
        <v/>
      </c>
      <c r="DY15" s="99" t="str">
        <f t="shared" ca="1" si="16"/>
        <v/>
      </c>
      <c r="DZ15" s="99" t="str">
        <f t="shared" ca="1" si="17"/>
        <v/>
      </c>
      <c r="EA15" s="99" t="str">
        <f t="shared" ca="1" si="18"/>
        <v/>
      </c>
      <c r="EB15" s="99" t="str">
        <f t="shared" ca="1" si="19"/>
        <v/>
      </c>
      <c r="EC15" s="99" t="str">
        <f t="shared" ca="1" si="20"/>
        <v/>
      </c>
      <c r="ED15" s="99" t="str">
        <f t="shared" ca="1" si="21"/>
        <v/>
      </c>
      <c r="EE15" s="99" t="str">
        <f t="shared" ca="1" si="22"/>
        <v/>
      </c>
      <c r="EF15" s="99" t="str">
        <f t="shared" ca="1" si="23"/>
        <v/>
      </c>
      <c r="EG15" s="99" t="str">
        <f t="shared" ca="1" si="24"/>
        <v/>
      </c>
      <c r="EH15" s="99" t="str">
        <f t="shared" ca="1" si="25"/>
        <v/>
      </c>
      <c r="EI15" s="99" t="str">
        <f t="shared" ca="1" si="26"/>
        <v/>
      </c>
      <c r="EJ15" s="99" t="str">
        <f t="shared" ca="1" si="27"/>
        <v/>
      </c>
      <c r="EK15" s="99" t="str">
        <f t="shared" ca="1" si="28"/>
        <v/>
      </c>
      <c r="EL15" s="99" t="str">
        <f t="shared" ca="1" si="29"/>
        <v/>
      </c>
      <c r="EM15" s="99" t="str">
        <f t="shared" ca="1" si="30"/>
        <v/>
      </c>
      <c r="EN15" s="99" t="str">
        <f t="shared" ca="1" si="31"/>
        <v/>
      </c>
      <c r="EO15" s="99" t="str">
        <f t="shared" ca="1" si="32"/>
        <v/>
      </c>
      <c r="EP15" s="99" t="str">
        <f t="shared" ca="1" si="33"/>
        <v/>
      </c>
    </row>
    <row r="16" spans="1:146" x14ac:dyDescent="0.25">
      <c r="A16" s="2"/>
      <c r="B16" s="2"/>
      <c r="C16" s="5"/>
      <c r="D16" s="135"/>
      <c r="E16" s="136"/>
      <c r="F16" s="136"/>
      <c r="G16" s="136"/>
      <c r="H16" s="136"/>
      <c r="I16" s="137"/>
      <c r="J16" s="18"/>
      <c r="K16" s="15"/>
      <c r="L16" s="5"/>
      <c r="M16" s="5"/>
      <c r="N16" s="5"/>
      <c r="O16" s="37">
        <f>Resources!A15</f>
        <v>0</v>
      </c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54"/>
      <c r="AV16" s="5"/>
      <c r="BB16" s="43"/>
      <c r="BC16" s="44"/>
      <c r="BD16" s="44"/>
      <c r="BE16" s="44"/>
      <c r="BF16" s="44"/>
      <c r="BG16" s="47"/>
      <c r="DL16" s="99" t="str">
        <f t="shared" ca="1" si="3"/>
        <v/>
      </c>
      <c r="DM16" s="99" t="str">
        <f t="shared" ca="1" si="4"/>
        <v/>
      </c>
      <c r="DN16" s="99" t="str">
        <f t="shared" ca="1" si="5"/>
        <v/>
      </c>
      <c r="DO16" s="99" t="str">
        <f t="shared" ca="1" si="6"/>
        <v/>
      </c>
      <c r="DP16" s="99" t="str">
        <f t="shared" ca="1" si="7"/>
        <v/>
      </c>
      <c r="DQ16" s="99" t="str">
        <f t="shared" ca="1" si="8"/>
        <v/>
      </c>
      <c r="DR16" s="99" t="str">
        <f t="shared" ca="1" si="9"/>
        <v/>
      </c>
      <c r="DS16" s="99" t="str">
        <f t="shared" ca="1" si="10"/>
        <v/>
      </c>
      <c r="DT16" s="99" t="str">
        <f t="shared" ca="1" si="11"/>
        <v/>
      </c>
      <c r="DU16" s="99" t="str">
        <f t="shared" ca="1" si="12"/>
        <v/>
      </c>
      <c r="DV16" s="99" t="str">
        <f t="shared" ca="1" si="13"/>
        <v/>
      </c>
      <c r="DW16" s="99" t="str">
        <f t="shared" ca="1" si="14"/>
        <v/>
      </c>
      <c r="DX16" s="99" t="str">
        <f t="shared" ca="1" si="15"/>
        <v/>
      </c>
      <c r="DY16" s="99" t="str">
        <f t="shared" ca="1" si="16"/>
        <v/>
      </c>
      <c r="DZ16" s="99" t="str">
        <f t="shared" ca="1" si="17"/>
        <v/>
      </c>
      <c r="EA16" s="99" t="str">
        <f t="shared" ca="1" si="18"/>
        <v/>
      </c>
      <c r="EB16" s="99" t="str">
        <f t="shared" ca="1" si="19"/>
        <v/>
      </c>
      <c r="EC16" s="99" t="str">
        <f t="shared" ca="1" si="20"/>
        <v/>
      </c>
      <c r="ED16" s="99" t="str">
        <f t="shared" ca="1" si="21"/>
        <v/>
      </c>
      <c r="EE16" s="99" t="str">
        <f t="shared" ca="1" si="22"/>
        <v/>
      </c>
      <c r="EF16" s="99" t="str">
        <f t="shared" ca="1" si="23"/>
        <v/>
      </c>
      <c r="EG16" s="99" t="str">
        <f t="shared" ca="1" si="24"/>
        <v/>
      </c>
      <c r="EH16" s="99" t="str">
        <f t="shared" ca="1" si="25"/>
        <v/>
      </c>
      <c r="EI16" s="99" t="str">
        <f t="shared" ca="1" si="26"/>
        <v/>
      </c>
      <c r="EJ16" s="99" t="str">
        <f t="shared" ca="1" si="27"/>
        <v/>
      </c>
      <c r="EK16" s="99" t="str">
        <f t="shared" ca="1" si="28"/>
        <v/>
      </c>
      <c r="EL16" s="99" t="str">
        <f t="shared" ca="1" si="29"/>
        <v/>
      </c>
      <c r="EM16" s="99" t="str">
        <f t="shared" ca="1" si="30"/>
        <v/>
      </c>
      <c r="EN16" s="99" t="str">
        <f t="shared" ca="1" si="31"/>
        <v/>
      </c>
      <c r="EO16" s="99" t="str">
        <f t="shared" ca="1" si="32"/>
        <v/>
      </c>
      <c r="EP16" s="99" t="str">
        <f t="shared" ca="1" si="33"/>
        <v/>
      </c>
    </row>
    <row r="17" spans="1:146" x14ac:dyDescent="0.25">
      <c r="A17" s="2"/>
      <c r="B17" s="2"/>
      <c r="C17" s="5"/>
      <c r="D17" s="138"/>
      <c r="E17" s="139"/>
      <c r="F17" s="139"/>
      <c r="G17" s="139"/>
      <c r="H17" s="139"/>
      <c r="I17" s="140"/>
      <c r="J17" s="18"/>
      <c r="K17" s="15"/>
      <c r="L17" s="5"/>
      <c r="M17" s="5"/>
      <c r="N17" s="5"/>
      <c r="O17" s="37">
        <f>Resources!A16</f>
        <v>0</v>
      </c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54"/>
      <c r="AV17" s="5"/>
      <c r="BB17" s="48"/>
      <c r="BC17" s="49"/>
      <c r="BD17" s="49"/>
      <c r="BE17" s="49"/>
      <c r="BF17" s="49"/>
      <c r="BG17" s="50"/>
      <c r="DL17" s="99" t="str">
        <f t="shared" ca="1" si="3"/>
        <v/>
      </c>
      <c r="DM17" s="99" t="str">
        <f t="shared" ca="1" si="4"/>
        <v/>
      </c>
      <c r="DN17" s="99" t="str">
        <f t="shared" ca="1" si="5"/>
        <v/>
      </c>
      <c r="DO17" s="99" t="str">
        <f t="shared" ca="1" si="6"/>
        <v/>
      </c>
      <c r="DP17" s="99" t="str">
        <f t="shared" ca="1" si="7"/>
        <v/>
      </c>
      <c r="DQ17" s="99" t="str">
        <f t="shared" ca="1" si="8"/>
        <v/>
      </c>
      <c r="DR17" s="99" t="str">
        <f t="shared" ca="1" si="9"/>
        <v/>
      </c>
      <c r="DS17" s="99" t="str">
        <f t="shared" ca="1" si="10"/>
        <v/>
      </c>
      <c r="DT17" s="99" t="str">
        <f t="shared" ca="1" si="11"/>
        <v/>
      </c>
      <c r="DU17" s="99" t="str">
        <f t="shared" ca="1" si="12"/>
        <v/>
      </c>
      <c r="DV17" s="99" t="str">
        <f t="shared" ca="1" si="13"/>
        <v/>
      </c>
      <c r="DW17" s="99" t="str">
        <f t="shared" ca="1" si="14"/>
        <v/>
      </c>
      <c r="DX17" s="99" t="str">
        <f t="shared" ca="1" si="15"/>
        <v/>
      </c>
      <c r="DY17" s="99" t="str">
        <f t="shared" ca="1" si="16"/>
        <v/>
      </c>
      <c r="DZ17" s="99" t="str">
        <f t="shared" ca="1" si="17"/>
        <v/>
      </c>
      <c r="EA17" s="99" t="str">
        <f t="shared" ca="1" si="18"/>
        <v/>
      </c>
      <c r="EB17" s="99" t="str">
        <f t="shared" ca="1" si="19"/>
        <v/>
      </c>
      <c r="EC17" s="99" t="str">
        <f t="shared" ca="1" si="20"/>
        <v/>
      </c>
      <c r="ED17" s="99" t="str">
        <f t="shared" ca="1" si="21"/>
        <v/>
      </c>
      <c r="EE17" s="99" t="str">
        <f t="shared" ca="1" si="22"/>
        <v/>
      </c>
      <c r="EF17" s="99" t="str">
        <f t="shared" ca="1" si="23"/>
        <v/>
      </c>
      <c r="EG17" s="99" t="str">
        <f t="shared" ca="1" si="24"/>
        <v/>
      </c>
      <c r="EH17" s="99" t="str">
        <f t="shared" ca="1" si="25"/>
        <v/>
      </c>
      <c r="EI17" s="99" t="str">
        <f t="shared" ca="1" si="26"/>
        <v/>
      </c>
      <c r="EJ17" s="99" t="str">
        <f t="shared" ca="1" si="27"/>
        <v/>
      </c>
      <c r="EK17" s="99" t="str">
        <f t="shared" ca="1" si="28"/>
        <v/>
      </c>
      <c r="EL17" s="99" t="str">
        <f t="shared" ca="1" si="29"/>
        <v/>
      </c>
      <c r="EM17" s="99" t="str">
        <f t="shared" ca="1" si="30"/>
        <v/>
      </c>
      <c r="EN17" s="99" t="str">
        <f t="shared" ca="1" si="31"/>
        <v/>
      </c>
      <c r="EO17" s="99" t="str">
        <f t="shared" ca="1" si="32"/>
        <v/>
      </c>
      <c r="EP17" s="99" t="str">
        <f t="shared" ca="1" si="33"/>
        <v/>
      </c>
    </row>
    <row r="18" spans="1:146" x14ac:dyDescent="0.25">
      <c r="A18" s="86" t="s">
        <v>54</v>
      </c>
      <c r="B18" s="86" t="s">
        <v>55</v>
      </c>
      <c r="C18" s="5"/>
      <c r="D18" s="5"/>
      <c r="E18" s="5"/>
      <c r="F18" s="5"/>
      <c r="G18" s="5"/>
      <c r="H18" s="5"/>
      <c r="I18" s="5"/>
      <c r="J18" s="18"/>
      <c r="K18" s="15"/>
      <c r="L18" s="5"/>
      <c r="M18" s="5"/>
      <c r="N18" s="5"/>
      <c r="O18" s="37">
        <f>Resources!A17</f>
        <v>0</v>
      </c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54"/>
      <c r="AV18" s="5"/>
      <c r="DL18" s="99" t="str">
        <f t="shared" ca="1" si="3"/>
        <v/>
      </c>
      <c r="DM18" s="99" t="str">
        <f t="shared" ca="1" si="4"/>
        <v/>
      </c>
      <c r="DN18" s="99" t="str">
        <f t="shared" ca="1" si="5"/>
        <v/>
      </c>
      <c r="DO18" s="99" t="str">
        <f t="shared" ca="1" si="6"/>
        <v/>
      </c>
      <c r="DP18" s="99" t="str">
        <f t="shared" ca="1" si="7"/>
        <v/>
      </c>
      <c r="DQ18" s="99" t="str">
        <f t="shared" ca="1" si="8"/>
        <v/>
      </c>
      <c r="DR18" s="99" t="str">
        <f t="shared" ca="1" si="9"/>
        <v/>
      </c>
      <c r="DS18" s="99" t="str">
        <f t="shared" ca="1" si="10"/>
        <v/>
      </c>
      <c r="DT18" s="99" t="str">
        <f t="shared" ca="1" si="11"/>
        <v/>
      </c>
      <c r="DU18" s="99" t="str">
        <f t="shared" ca="1" si="12"/>
        <v/>
      </c>
      <c r="DV18" s="99" t="str">
        <f t="shared" ca="1" si="13"/>
        <v/>
      </c>
      <c r="DW18" s="99" t="str">
        <f t="shared" ca="1" si="14"/>
        <v/>
      </c>
      <c r="DX18" s="99" t="str">
        <f t="shared" ca="1" si="15"/>
        <v/>
      </c>
      <c r="DY18" s="99" t="str">
        <f t="shared" ca="1" si="16"/>
        <v/>
      </c>
      <c r="DZ18" s="99" t="str">
        <f t="shared" ca="1" si="17"/>
        <v/>
      </c>
      <c r="EA18" s="99" t="str">
        <f t="shared" ca="1" si="18"/>
        <v/>
      </c>
      <c r="EB18" s="99" t="str">
        <f t="shared" ca="1" si="19"/>
        <v/>
      </c>
      <c r="EC18" s="99" t="str">
        <f t="shared" ca="1" si="20"/>
        <v/>
      </c>
      <c r="ED18" s="99" t="str">
        <f t="shared" ca="1" si="21"/>
        <v/>
      </c>
      <c r="EE18" s="99" t="str">
        <f t="shared" ca="1" si="22"/>
        <v/>
      </c>
      <c r="EF18" s="99" t="str">
        <f t="shared" ca="1" si="23"/>
        <v/>
      </c>
      <c r="EG18" s="99" t="str">
        <f t="shared" ca="1" si="24"/>
        <v/>
      </c>
      <c r="EH18" s="99" t="str">
        <f t="shared" ca="1" si="25"/>
        <v/>
      </c>
      <c r="EI18" s="99" t="str">
        <f t="shared" ca="1" si="26"/>
        <v/>
      </c>
      <c r="EJ18" s="99" t="str">
        <f t="shared" ca="1" si="27"/>
        <v/>
      </c>
      <c r="EK18" s="99" t="str">
        <f t="shared" ca="1" si="28"/>
        <v/>
      </c>
      <c r="EL18" s="99" t="str">
        <f t="shared" ca="1" si="29"/>
        <v/>
      </c>
      <c r="EM18" s="99" t="str">
        <f t="shared" ca="1" si="30"/>
        <v/>
      </c>
      <c r="EN18" s="99" t="str">
        <f t="shared" ca="1" si="31"/>
        <v/>
      </c>
      <c r="EO18" s="99" t="str">
        <f t="shared" ca="1" si="32"/>
        <v/>
      </c>
      <c r="EP18" s="99" t="str">
        <f t="shared" ca="1" si="33"/>
        <v/>
      </c>
    </row>
    <row r="19" spans="1:146" x14ac:dyDescent="0.25">
      <c r="A19" s="87" t="s">
        <v>7</v>
      </c>
      <c r="B19" s="88">
        <v>2019</v>
      </c>
      <c r="C19" s="5"/>
      <c r="D19" s="131" t="s">
        <v>39</v>
      </c>
      <c r="E19" s="132"/>
      <c r="F19" s="132"/>
      <c r="G19" s="132"/>
      <c r="H19" s="132"/>
      <c r="I19" s="133"/>
      <c r="J19" s="18"/>
      <c r="K19" s="15"/>
      <c r="L19" s="5"/>
      <c r="M19" s="5"/>
      <c r="N19" s="5"/>
      <c r="O19" s="37">
        <f>Resources!A18</f>
        <v>0</v>
      </c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54"/>
      <c r="AV19" s="5"/>
      <c r="DL19" s="99" t="str">
        <f t="shared" ca="1" si="3"/>
        <v/>
      </c>
      <c r="DM19" s="99" t="str">
        <f t="shared" ca="1" si="4"/>
        <v/>
      </c>
      <c r="DN19" s="99" t="str">
        <f t="shared" ca="1" si="5"/>
        <v/>
      </c>
      <c r="DO19" s="99" t="str">
        <f t="shared" ca="1" si="6"/>
        <v/>
      </c>
      <c r="DP19" s="99" t="str">
        <f t="shared" ca="1" si="7"/>
        <v/>
      </c>
      <c r="DQ19" s="99" t="str">
        <f t="shared" ca="1" si="8"/>
        <v/>
      </c>
      <c r="DR19" s="99" t="str">
        <f t="shared" ca="1" si="9"/>
        <v/>
      </c>
      <c r="DS19" s="99" t="str">
        <f t="shared" ca="1" si="10"/>
        <v/>
      </c>
      <c r="DT19" s="99" t="str">
        <f t="shared" ca="1" si="11"/>
        <v/>
      </c>
      <c r="DU19" s="99" t="str">
        <f t="shared" ca="1" si="12"/>
        <v/>
      </c>
      <c r="DV19" s="99" t="str">
        <f t="shared" ca="1" si="13"/>
        <v/>
      </c>
      <c r="DW19" s="99" t="str">
        <f t="shared" ca="1" si="14"/>
        <v/>
      </c>
      <c r="DX19" s="99" t="str">
        <f t="shared" ca="1" si="15"/>
        <v/>
      </c>
      <c r="DY19" s="99" t="str">
        <f t="shared" ca="1" si="16"/>
        <v/>
      </c>
      <c r="DZ19" s="99" t="str">
        <f t="shared" ca="1" si="17"/>
        <v/>
      </c>
      <c r="EA19" s="99" t="str">
        <f t="shared" ca="1" si="18"/>
        <v/>
      </c>
      <c r="EB19" s="99" t="str">
        <f t="shared" ca="1" si="19"/>
        <v/>
      </c>
      <c r="EC19" s="99" t="str">
        <f t="shared" ca="1" si="20"/>
        <v/>
      </c>
      <c r="ED19" s="99" t="str">
        <f t="shared" ca="1" si="21"/>
        <v/>
      </c>
      <c r="EE19" s="99" t="str">
        <f t="shared" ca="1" si="22"/>
        <v/>
      </c>
      <c r="EF19" s="99" t="str">
        <f t="shared" ca="1" si="23"/>
        <v/>
      </c>
      <c r="EG19" s="99" t="str">
        <f t="shared" ca="1" si="24"/>
        <v/>
      </c>
      <c r="EH19" s="99" t="str">
        <f t="shared" ca="1" si="25"/>
        <v/>
      </c>
      <c r="EI19" s="99" t="str">
        <f t="shared" ca="1" si="26"/>
        <v/>
      </c>
      <c r="EJ19" s="99" t="str">
        <f t="shared" ca="1" si="27"/>
        <v/>
      </c>
      <c r="EK19" s="99" t="str">
        <f t="shared" ca="1" si="28"/>
        <v/>
      </c>
      <c r="EL19" s="99" t="str">
        <f t="shared" ca="1" si="29"/>
        <v/>
      </c>
      <c r="EM19" s="99" t="str">
        <f t="shared" ca="1" si="30"/>
        <v/>
      </c>
      <c r="EN19" s="99" t="str">
        <f t="shared" ca="1" si="31"/>
        <v/>
      </c>
      <c r="EO19" s="99" t="str">
        <f t="shared" ca="1" si="32"/>
        <v/>
      </c>
      <c r="EP19" s="99" t="str">
        <f t="shared" ca="1" si="33"/>
        <v/>
      </c>
    </row>
    <row r="20" spans="1:146" x14ac:dyDescent="0.25">
      <c r="A20" s="87" t="s">
        <v>43</v>
      </c>
      <c r="B20" s="88">
        <v>2020</v>
      </c>
      <c r="C20" s="5"/>
      <c r="D20" s="59" t="s">
        <v>56</v>
      </c>
      <c r="E20" s="59" t="s">
        <v>57</v>
      </c>
      <c r="F20" s="59" t="s">
        <v>13</v>
      </c>
      <c r="G20" s="128" t="s">
        <v>38</v>
      </c>
      <c r="H20" s="129"/>
      <c r="I20" s="130"/>
      <c r="J20" s="18"/>
      <c r="K20" s="15"/>
      <c r="L20" s="5"/>
      <c r="M20" s="5"/>
      <c r="N20" s="5"/>
      <c r="O20" s="37">
        <f>Resources!A19</f>
        <v>0</v>
      </c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54"/>
      <c r="AV20" s="5"/>
      <c r="DL20" s="99" t="str">
        <f t="shared" ca="1" si="3"/>
        <v/>
      </c>
      <c r="DM20" s="99" t="str">
        <f t="shared" ca="1" si="4"/>
        <v/>
      </c>
      <c r="DN20" s="99" t="str">
        <f t="shared" ca="1" si="5"/>
        <v/>
      </c>
      <c r="DO20" s="99" t="str">
        <f t="shared" ca="1" si="6"/>
        <v/>
      </c>
      <c r="DP20" s="99" t="str">
        <f t="shared" ca="1" si="7"/>
        <v/>
      </c>
      <c r="DQ20" s="99" t="str">
        <f t="shared" ca="1" si="8"/>
        <v/>
      </c>
      <c r="DR20" s="99" t="str">
        <f t="shared" ca="1" si="9"/>
        <v/>
      </c>
      <c r="DS20" s="99" t="str">
        <f t="shared" ca="1" si="10"/>
        <v/>
      </c>
      <c r="DT20" s="99" t="str">
        <f t="shared" ca="1" si="11"/>
        <v/>
      </c>
      <c r="DU20" s="99" t="str">
        <f t="shared" ca="1" si="12"/>
        <v/>
      </c>
      <c r="DV20" s="99" t="str">
        <f t="shared" ca="1" si="13"/>
        <v/>
      </c>
      <c r="DW20" s="99" t="str">
        <f t="shared" ca="1" si="14"/>
        <v/>
      </c>
      <c r="DX20" s="99" t="str">
        <f t="shared" ca="1" si="15"/>
        <v/>
      </c>
      <c r="DY20" s="99" t="str">
        <f t="shared" ca="1" si="16"/>
        <v/>
      </c>
      <c r="DZ20" s="99" t="str">
        <f t="shared" ca="1" si="17"/>
        <v/>
      </c>
      <c r="EA20" s="99" t="str">
        <f t="shared" ca="1" si="18"/>
        <v/>
      </c>
      <c r="EB20" s="99" t="str">
        <f t="shared" ca="1" si="19"/>
        <v/>
      </c>
      <c r="EC20" s="99" t="str">
        <f t="shared" ca="1" si="20"/>
        <v/>
      </c>
      <c r="ED20" s="99" t="str">
        <f t="shared" ca="1" si="21"/>
        <v/>
      </c>
      <c r="EE20" s="99" t="str">
        <f t="shared" ca="1" si="22"/>
        <v/>
      </c>
      <c r="EF20" s="99" t="str">
        <f t="shared" ca="1" si="23"/>
        <v/>
      </c>
      <c r="EG20" s="99" t="str">
        <f t="shared" ca="1" si="24"/>
        <v/>
      </c>
      <c r="EH20" s="99" t="str">
        <f t="shared" ca="1" si="25"/>
        <v/>
      </c>
      <c r="EI20" s="99" t="str">
        <f t="shared" ca="1" si="26"/>
        <v/>
      </c>
      <c r="EJ20" s="99" t="str">
        <f t="shared" ca="1" si="27"/>
        <v/>
      </c>
      <c r="EK20" s="99" t="str">
        <f t="shared" ca="1" si="28"/>
        <v/>
      </c>
      <c r="EL20" s="99" t="str">
        <f t="shared" ca="1" si="29"/>
        <v/>
      </c>
      <c r="EM20" s="99" t="str">
        <f t="shared" ca="1" si="30"/>
        <v/>
      </c>
      <c r="EN20" s="99" t="str">
        <f t="shared" ca="1" si="31"/>
        <v/>
      </c>
      <c r="EO20" s="99" t="str">
        <f t="shared" ca="1" si="32"/>
        <v/>
      </c>
      <c r="EP20" s="99" t="str">
        <f t="shared" ca="1" si="33"/>
        <v/>
      </c>
    </row>
    <row r="21" spans="1:146" x14ac:dyDescent="0.25">
      <c r="A21" s="87" t="s">
        <v>44</v>
      </c>
      <c r="B21" s="88">
        <v>2021</v>
      </c>
      <c r="C21" s="5"/>
      <c r="D21" s="14"/>
      <c r="E21" s="14"/>
      <c r="F21" s="14"/>
      <c r="G21" s="51"/>
      <c r="H21" s="52"/>
      <c r="I21" s="53"/>
      <c r="J21" s="18"/>
      <c r="K21" s="15"/>
      <c r="L21" s="5"/>
      <c r="M21" s="5"/>
      <c r="N21" s="5"/>
      <c r="O21" s="37">
        <f>Resources!A20</f>
        <v>0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54"/>
      <c r="AV21" s="5"/>
      <c r="DL21" s="99" t="str">
        <f t="shared" ca="1" si="3"/>
        <v/>
      </c>
      <c r="DM21" s="99" t="str">
        <f t="shared" ca="1" si="4"/>
        <v/>
      </c>
      <c r="DN21" s="99" t="str">
        <f t="shared" ca="1" si="5"/>
        <v/>
      </c>
      <c r="DO21" s="99" t="str">
        <f t="shared" ca="1" si="6"/>
        <v/>
      </c>
      <c r="DP21" s="99" t="str">
        <f t="shared" ca="1" si="7"/>
        <v/>
      </c>
      <c r="DQ21" s="99" t="str">
        <f t="shared" ca="1" si="8"/>
        <v/>
      </c>
      <c r="DR21" s="99" t="str">
        <f t="shared" ca="1" si="9"/>
        <v/>
      </c>
      <c r="DS21" s="99" t="str">
        <f t="shared" ca="1" si="10"/>
        <v/>
      </c>
      <c r="DT21" s="99" t="str">
        <f t="shared" ca="1" si="11"/>
        <v/>
      </c>
      <c r="DU21" s="99" t="str">
        <f t="shared" ca="1" si="12"/>
        <v/>
      </c>
      <c r="DV21" s="99" t="str">
        <f t="shared" ca="1" si="13"/>
        <v/>
      </c>
      <c r="DW21" s="99" t="str">
        <f t="shared" ca="1" si="14"/>
        <v/>
      </c>
      <c r="DX21" s="99" t="str">
        <f t="shared" ca="1" si="15"/>
        <v/>
      </c>
      <c r="DY21" s="99" t="str">
        <f t="shared" ca="1" si="16"/>
        <v/>
      </c>
      <c r="DZ21" s="99" t="str">
        <f t="shared" ca="1" si="17"/>
        <v/>
      </c>
      <c r="EA21" s="99" t="str">
        <f t="shared" ca="1" si="18"/>
        <v/>
      </c>
      <c r="EB21" s="99" t="str">
        <f t="shared" ca="1" si="19"/>
        <v/>
      </c>
      <c r="EC21" s="99" t="str">
        <f t="shared" ca="1" si="20"/>
        <v/>
      </c>
      <c r="ED21" s="99" t="str">
        <f t="shared" ca="1" si="21"/>
        <v/>
      </c>
      <c r="EE21" s="99" t="str">
        <f t="shared" ca="1" si="22"/>
        <v/>
      </c>
      <c r="EF21" s="99" t="str">
        <f t="shared" ca="1" si="23"/>
        <v/>
      </c>
      <c r="EG21" s="99" t="str">
        <f t="shared" ca="1" si="24"/>
        <v/>
      </c>
      <c r="EH21" s="99" t="str">
        <f t="shared" ca="1" si="25"/>
        <v/>
      </c>
      <c r="EI21" s="99" t="str">
        <f t="shared" ca="1" si="26"/>
        <v/>
      </c>
      <c r="EJ21" s="99" t="str">
        <f t="shared" ca="1" si="27"/>
        <v/>
      </c>
      <c r="EK21" s="99" t="str">
        <f t="shared" ca="1" si="28"/>
        <v/>
      </c>
      <c r="EL21" s="99" t="str">
        <f t="shared" ca="1" si="29"/>
        <v/>
      </c>
      <c r="EM21" s="99" t="str">
        <f t="shared" ca="1" si="30"/>
        <v/>
      </c>
      <c r="EN21" s="99" t="str">
        <f t="shared" ca="1" si="31"/>
        <v/>
      </c>
      <c r="EO21" s="99" t="str">
        <f t="shared" ca="1" si="32"/>
        <v/>
      </c>
      <c r="EP21" s="99" t="str">
        <f t="shared" ca="1" si="33"/>
        <v/>
      </c>
    </row>
    <row r="22" spans="1:146" x14ac:dyDescent="0.25">
      <c r="A22" s="87" t="s">
        <v>45</v>
      </c>
      <c r="B22" s="88">
        <v>2022</v>
      </c>
      <c r="C22" s="5"/>
      <c r="D22" s="14"/>
      <c r="E22" s="14"/>
      <c r="F22" s="14"/>
      <c r="G22" s="54"/>
      <c r="H22" s="17"/>
      <c r="I22" s="55"/>
      <c r="J22" s="18"/>
      <c r="K22" s="15"/>
      <c r="L22" s="5"/>
      <c r="M22" s="5"/>
      <c r="N22" s="5"/>
      <c r="O22" s="37">
        <f>Resources!A21</f>
        <v>0</v>
      </c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54"/>
      <c r="AV22" s="5"/>
      <c r="DL22" s="99" t="str">
        <f t="shared" ca="1" si="3"/>
        <v/>
      </c>
      <c r="DM22" s="99" t="str">
        <f t="shared" ca="1" si="4"/>
        <v/>
      </c>
      <c r="DN22" s="99" t="str">
        <f t="shared" ca="1" si="5"/>
        <v/>
      </c>
      <c r="DO22" s="99" t="str">
        <f t="shared" ca="1" si="6"/>
        <v/>
      </c>
      <c r="DP22" s="99" t="str">
        <f t="shared" ca="1" si="7"/>
        <v/>
      </c>
      <c r="DQ22" s="99" t="str">
        <f t="shared" ca="1" si="8"/>
        <v/>
      </c>
      <c r="DR22" s="99" t="str">
        <f t="shared" ca="1" si="9"/>
        <v/>
      </c>
      <c r="DS22" s="99" t="str">
        <f t="shared" ca="1" si="10"/>
        <v/>
      </c>
      <c r="DT22" s="99" t="str">
        <f t="shared" ca="1" si="11"/>
        <v/>
      </c>
      <c r="DU22" s="99" t="str">
        <f t="shared" ca="1" si="12"/>
        <v/>
      </c>
      <c r="DV22" s="99" t="str">
        <f t="shared" ca="1" si="13"/>
        <v/>
      </c>
      <c r="DW22" s="99" t="str">
        <f t="shared" ca="1" si="14"/>
        <v/>
      </c>
      <c r="DX22" s="99" t="str">
        <f t="shared" ca="1" si="15"/>
        <v/>
      </c>
      <c r="DY22" s="99" t="str">
        <f t="shared" ca="1" si="16"/>
        <v/>
      </c>
      <c r="DZ22" s="99" t="str">
        <f t="shared" ca="1" si="17"/>
        <v/>
      </c>
      <c r="EA22" s="99" t="str">
        <f t="shared" ca="1" si="18"/>
        <v/>
      </c>
      <c r="EB22" s="99" t="str">
        <f t="shared" ca="1" si="19"/>
        <v/>
      </c>
      <c r="EC22" s="99" t="str">
        <f t="shared" ca="1" si="20"/>
        <v/>
      </c>
      <c r="ED22" s="99" t="str">
        <f t="shared" ca="1" si="21"/>
        <v/>
      </c>
      <c r="EE22" s="99" t="str">
        <f t="shared" ca="1" si="22"/>
        <v/>
      </c>
      <c r="EF22" s="99" t="str">
        <f t="shared" ca="1" si="23"/>
        <v/>
      </c>
      <c r="EG22" s="99" t="str">
        <f t="shared" ca="1" si="24"/>
        <v/>
      </c>
      <c r="EH22" s="99" t="str">
        <f t="shared" ca="1" si="25"/>
        <v/>
      </c>
      <c r="EI22" s="99" t="str">
        <f t="shared" ca="1" si="26"/>
        <v/>
      </c>
      <c r="EJ22" s="99" t="str">
        <f t="shared" ca="1" si="27"/>
        <v/>
      </c>
      <c r="EK22" s="99" t="str">
        <f t="shared" ca="1" si="28"/>
        <v/>
      </c>
      <c r="EL22" s="99" t="str">
        <f t="shared" ca="1" si="29"/>
        <v/>
      </c>
      <c r="EM22" s="99" t="str">
        <f t="shared" ca="1" si="30"/>
        <v/>
      </c>
      <c r="EN22" s="99" t="str">
        <f t="shared" ca="1" si="31"/>
        <v/>
      </c>
      <c r="EO22" s="99" t="str">
        <f t="shared" ca="1" si="32"/>
        <v/>
      </c>
      <c r="EP22" s="99" t="str">
        <f t="shared" ca="1" si="33"/>
        <v/>
      </c>
    </row>
    <row r="23" spans="1:146" x14ac:dyDescent="0.25">
      <c r="A23" s="87" t="s">
        <v>46</v>
      </c>
      <c r="B23" s="88">
        <v>2023</v>
      </c>
      <c r="C23" s="5"/>
      <c r="D23" s="14"/>
      <c r="E23" s="14"/>
      <c r="F23" s="14"/>
      <c r="G23" s="54"/>
      <c r="H23" s="17"/>
      <c r="I23" s="55"/>
      <c r="J23" s="18"/>
      <c r="K23" s="15"/>
      <c r="L23" s="5"/>
      <c r="M23" s="5"/>
      <c r="N23" s="5"/>
      <c r="O23" s="37">
        <f>Resources!A22</f>
        <v>0</v>
      </c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54"/>
      <c r="AV23" s="5"/>
      <c r="DL23" s="99" t="str">
        <f t="shared" ca="1" si="3"/>
        <v/>
      </c>
      <c r="DM23" s="99" t="str">
        <f t="shared" ca="1" si="4"/>
        <v/>
      </c>
      <c r="DN23" s="99" t="str">
        <f t="shared" ca="1" si="5"/>
        <v/>
      </c>
      <c r="DO23" s="99" t="str">
        <f t="shared" ca="1" si="6"/>
        <v/>
      </c>
      <c r="DP23" s="99" t="str">
        <f t="shared" ca="1" si="7"/>
        <v/>
      </c>
      <c r="DQ23" s="99" t="str">
        <f t="shared" ca="1" si="8"/>
        <v/>
      </c>
      <c r="DR23" s="99" t="str">
        <f t="shared" ca="1" si="9"/>
        <v/>
      </c>
      <c r="DS23" s="99" t="str">
        <f t="shared" ca="1" si="10"/>
        <v/>
      </c>
      <c r="DT23" s="99" t="str">
        <f t="shared" ca="1" si="11"/>
        <v/>
      </c>
      <c r="DU23" s="99" t="str">
        <f t="shared" ca="1" si="12"/>
        <v/>
      </c>
      <c r="DV23" s="99" t="str">
        <f t="shared" ca="1" si="13"/>
        <v/>
      </c>
      <c r="DW23" s="99" t="str">
        <f t="shared" ca="1" si="14"/>
        <v/>
      </c>
      <c r="DX23" s="99" t="str">
        <f t="shared" ca="1" si="15"/>
        <v/>
      </c>
      <c r="DY23" s="99" t="str">
        <f t="shared" ca="1" si="16"/>
        <v/>
      </c>
      <c r="DZ23" s="99" t="str">
        <f t="shared" ca="1" si="17"/>
        <v/>
      </c>
      <c r="EA23" s="99" t="str">
        <f t="shared" ca="1" si="18"/>
        <v/>
      </c>
      <c r="EB23" s="99" t="str">
        <f t="shared" ca="1" si="19"/>
        <v/>
      </c>
      <c r="EC23" s="99" t="str">
        <f t="shared" ca="1" si="20"/>
        <v/>
      </c>
      <c r="ED23" s="99" t="str">
        <f t="shared" ca="1" si="21"/>
        <v/>
      </c>
      <c r="EE23" s="99" t="str">
        <f t="shared" ca="1" si="22"/>
        <v/>
      </c>
      <c r="EF23" s="99" t="str">
        <f t="shared" ca="1" si="23"/>
        <v/>
      </c>
      <c r="EG23" s="99" t="str">
        <f t="shared" ca="1" si="24"/>
        <v/>
      </c>
      <c r="EH23" s="99" t="str">
        <f t="shared" ca="1" si="25"/>
        <v/>
      </c>
      <c r="EI23" s="99" t="str">
        <f t="shared" ca="1" si="26"/>
        <v/>
      </c>
      <c r="EJ23" s="99" t="str">
        <f t="shared" ca="1" si="27"/>
        <v/>
      </c>
      <c r="EK23" s="99" t="str">
        <f t="shared" ca="1" si="28"/>
        <v/>
      </c>
      <c r="EL23" s="99" t="str">
        <f t="shared" ca="1" si="29"/>
        <v/>
      </c>
      <c r="EM23" s="99" t="str">
        <f t="shared" ca="1" si="30"/>
        <v/>
      </c>
      <c r="EN23" s="99" t="str">
        <f t="shared" ca="1" si="31"/>
        <v/>
      </c>
      <c r="EO23" s="99" t="str">
        <f t="shared" ca="1" si="32"/>
        <v/>
      </c>
      <c r="EP23" s="99" t="str">
        <f t="shared" ca="1" si="33"/>
        <v/>
      </c>
    </row>
    <row r="24" spans="1:146" x14ac:dyDescent="0.25">
      <c r="A24" s="87" t="s">
        <v>47</v>
      </c>
      <c r="B24" s="88">
        <v>2024</v>
      </c>
      <c r="C24" s="5"/>
      <c r="D24" s="14"/>
      <c r="E24" s="14"/>
      <c r="F24" s="14"/>
      <c r="G24" s="54"/>
      <c r="H24" s="17"/>
      <c r="I24" s="55"/>
      <c r="J24" s="18"/>
      <c r="K24" s="15"/>
      <c r="L24" s="5"/>
      <c r="M24" s="5"/>
      <c r="N24" s="5"/>
      <c r="O24" s="37">
        <f>Resources!A23</f>
        <v>0</v>
      </c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54"/>
      <c r="AV24" s="5"/>
      <c r="DL24" s="99" t="str">
        <f t="shared" ca="1" si="3"/>
        <v/>
      </c>
      <c r="DM24" s="99" t="str">
        <f t="shared" ca="1" si="4"/>
        <v/>
      </c>
      <c r="DN24" s="99" t="str">
        <f t="shared" ca="1" si="5"/>
        <v/>
      </c>
      <c r="DO24" s="99" t="str">
        <f t="shared" ca="1" si="6"/>
        <v/>
      </c>
      <c r="DP24" s="99" t="str">
        <f t="shared" ca="1" si="7"/>
        <v/>
      </c>
      <c r="DQ24" s="99" t="str">
        <f t="shared" ca="1" si="8"/>
        <v/>
      </c>
      <c r="DR24" s="99" t="str">
        <f t="shared" ca="1" si="9"/>
        <v/>
      </c>
      <c r="DS24" s="99" t="str">
        <f t="shared" ca="1" si="10"/>
        <v/>
      </c>
      <c r="DT24" s="99" t="str">
        <f t="shared" ca="1" si="11"/>
        <v/>
      </c>
      <c r="DU24" s="99" t="str">
        <f t="shared" ca="1" si="12"/>
        <v/>
      </c>
      <c r="DV24" s="99" t="str">
        <f t="shared" ca="1" si="13"/>
        <v/>
      </c>
      <c r="DW24" s="99" t="str">
        <f t="shared" ca="1" si="14"/>
        <v/>
      </c>
      <c r="DX24" s="99" t="str">
        <f t="shared" ca="1" si="15"/>
        <v/>
      </c>
      <c r="DY24" s="99" t="str">
        <f t="shared" ca="1" si="16"/>
        <v/>
      </c>
      <c r="DZ24" s="99" t="str">
        <f t="shared" ca="1" si="17"/>
        <v/>
      </c>
      <c r="EA24" s="99" t="str">
        <f t="shared" ca="1" si="18"/>
        <v/>
      </c>
      <c r="EB24" s="99" t="str">
        <f t="shared" ca="1" si="19"/>
        <v/>
      </c>
      <c r="EC24" s="99" t="str">
        <f t="shared" ca="1" si="20"/>
        <v/>
      </c>
      <c r="ED24" s="99" t="str">
        <f t="shared" ca="1" si="21"/>
        <v/>
      </c>
      <c r="EE24" s="99" t="str">
        <f t="shared" ca="1" si="22"/>
        <v/>
      </c>
      <c r="EF24" s="99" t="str">
        <f t="shared" ca="1" si="23"/>
        <v/>
      </c>
      <c r="EG24" s="99" t="str">
        <f t="shared" ca="1" si="24"/>
        <v/>
      </c>
      <c r="EH24" s="99" t="str">
        <f t="shared" ca="1" si="25"/>
        <v/>
      </c>
      <c r="EI24" s="99" t="str">
        <f t="shared" ca="1" si="26"/>
        <v/>
      </c>
      <c r="EJ24" s="99" t="str">
        <f t="shared" ca="1" si="27"/>
        <v/>
      </c>
      <c r="EK24" s="99" t="str">
        <f t="shared" ca="1" si="28"/>
        <v/>
      </c>
      <c r="EL24" s="99" t="str">
        <f t="shared" ca="1" si="29"/>
        <v/>
      </c>
      <c r="EM24" s="99" t="str">
        <f t="shared" ca="1" si="30"/>
        <v/>
      </c>
      <c r="EN24" s="99" t="str">
        <f t="shared" ca="1" si="31"/>
        <v/>
      </c>
      <c r="EO24" s="99" t="str">
        <f t="shared" ca="1" si="32"/>
        <v/>
      </c>
      <c r="EP24" s="99" t="str">
        <f t="shared" ca="1" si="33"/>
        <v/>
      </c>
    </row>
    <row r="25" spans="1:146" x14ac:dyDescent="0.25">
      <c r="A25" s="87" t="s">
        <v>48</v>
      </c>
      <c r="B25" s="88">
        <v>2025</v>
      </c>
      <c r="C25" s="5"/>
      <c r="D25" s="14"/>
      <c r="E25" s="14"/>
      <c r="F25" s="14"/>
      <c r="G25" s="54"/>
      <c r="H25" s="17"/>
      <c r="I25" s="55"/>
      <c r="J25" s="18"/>
      <c r="K25" s="15"/>
      <c r="L25" s="5"/>
      <c r="M25" s="5"/>
      <c r="N25" s="5"/>
      <c r="O25" s="37">
        <f>Resources!A24</f>
        <v>0</v>
      </c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54"/>
      <c r="AV25" s="5"/>
      <c r="DL25" s="99" t="str">
        <f t="shared" ca="1" si="3"/>
        <v/>
      </c>
      <c r="DM25" s="99" t="str">
        <f t="shared" ca="1" si="4"/>
        <v/>
      </c>
      <c r="DN25" s="99" t="str">
        <f t="shared" ca="1" si="5"/>
        <v/>
      </c>
      <c r="DO25" s="99" t="str">
        <f t="shared" ca="1" si="6"/>
        <v/>
      </c>
      <c r="DP25" s="99" t="str">
        <f t="shared" ca="1" si="7"/>
        <v/>
      </c>
      <c r="DQ25" s="99" t="str">
        <f t="shared" ca="1" si="8"/>
        <v/>
      </c>
      <c r="DR25" s="99" t="str">
        <f t="shared" ca="1" si="9"/>
        <v/>
      </c>
      <c r="DS25" s="99" t="str">
        <f t="shared" ca="1" si="10"/>
        <v/>
      </c>
      <c r="DT25" s="99" t="str">
        <f t="shared" ca="1" si="11"/>
        <v/>
      </c>
      <c r="DU25" s="99" t="str">
        <f t="shared" ca="1" si="12"/>
        <v/>
      </c>
      <c r="DV25" s="99" t="str">
        <f t="shared" ca="1" si="13"/>
        <v/>
      </c>
      <c r="DW25" s="99" t="str">
        <f t="shared" ca="1" si="14"/>
        <v/>
      </c>
      <c r="DX25" s="99" t="str">
        <f t="shared" ca="1" si="15"/>
        <v/>
      </c>
      <c r="DY25" s="99" t="str">
        <f t="shared" ca="1" si="16"/>
        <v/>
      </c>
      <c r="DZ25" s="99" t="str">
        <f t="shared" ca="1" si="17"/>
        <v/>
      </c>
      <c r="EA25" s="99" t="str">
        <f t="shared" ca="1" si="18"/>
        <v/>
      </c>
      <c r="EB25" s="99" t="str">
        <f t="shared" ca="1" si="19"/>
        <v/>
      </c>
      <c r="EC25" s="99" t="str">
        <f t="shared" ca="1" si="20"/>
        <v/>
      </c>
      <c r="ED25" s="99" t="str">
        <f t="shared" ca="1" si="21"/>
        <v/>
      </c>
      <c r="EE25" s="99" t="str">
        <f t="shared" ca="1" si="22"/>
        <v/>
      </c>
      <c r="EF25" s="99" t="str">
        <f t="shared" ca="1" si="23"/>
        <v/>
      </c>
      <c r="EG25" s="99" t="str">
        <f t="shared" ca="1" si="24"/>
        <v/>
      </c>
      <c r="EH25" s="99" t="str">
        <f t="shared" ca="1" si="25"/>
        <v/>
      </c>
      <c r="EI25" s="99" t="str">
        <f t="shared" ca="1" si="26"/>
        <v/>
      </c>
      <c r="EJ25" s="99" t="str">
        <f t="shared" ca="1" si="27"/>
        <v/>
      </c>
      <c r="EK25" s="99" t="str">
        <f t="shared" ca="1" si="28"/>
        <v/>
      </c>
      <c r="EL25" s="99" t="str">
        <f t="shared" ca="1" si="29"/>
        <v/>
      </c>
      <c r="EM25" s="99" t="str">
        <f t="shared" ca="1" si="30"/>
        <v/>
      </c>
      <c r="EN25" s="99" t="str">
        <f t="shared" ca="1" si="31"/>
        <v/>
      </c>
      <c r="EO25" s="99" t="str">
        <f t="shared" ca="1" si="32"/>
        <v/>
      </c>
      <c r="EP25" s="99" t="str">
        <f t="shared" ca="1" si="33"/>
        <v/>
      </c>
    </row>
    <row r="26" spans="1:146" x14ac:dyDescent="0.25">
      <c r="A26" s="87" t="s">
        <v>49</v>
      </c>
      <c r="B26" s="88">
        <v>2026</v>
      </c>
      <c r="C26" s="5"/>
      <c r="D26" s="14"/>
      <c r="E26" s="14"/>
      <c r="F26" s="14"/>
      <c r="G26" s="56"/>
      <c r="H26" s="57"/>
      <c r="I26" s="58"/>
      <c r="J26" s="5"/>
      <c r="K26" s="15"/>
      <c r="L26" s="5"/>
      <c r="M26" s="5"/>
      <c r="N26" s="5"/>
      <c r="O26" s="37">
        <f>Resources!A25</f>
        <v>0</v>
      </c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54"/>
      <c r="AV26" s="5"/>
      <c r="DL26" s="99" t="str">
        <f t="shared" ca="1" si="3"/>
        <v/>
      </c>
      <c r="DM26" s="99" t="str">
        <f t="shared" ca="1" si="4"/>
        <v/>
      </c>
      <c r="DN26" s="99" t="str">
        <f t="shared" ca="1" si="5"/>
        <v/>
      </c>
      <c r="DO26" s="99" t="str">
        <f t="shared" ca="1" si="6"/>
        <v/>
      </c>
      <c r="DP26" s="99" t="str">
        <f t="shared" ca="1" si="7"/>
        <v/>
      </c>
      <c r="DQ26" s="99" t="str">
        <f t="shared" ca="1" si="8"/>
        <v/>
      </c>
      <c r="DR26" s="99" t="str">
        <f t="shared" ca="1" si="9"/>
        <v/>
      </c>
      <c r="DS26" s="99" t="str">
        <f t="shared" ca="1" si="10"/>
        <v/>
      </c>
      <c r="DT26" s="99" t="str">
        <f t="shared" ca="1" si="11"/>
        <v/>
      </c>
      <c r="DU26" s="99" t="str">
        <f t="shared" ca="1" si="12"/>
        <v/>
      </c>
      <c r="DV26" s="99" t="str">
        <f t="shared" ca="1" si="13"/>
        <v/>
      </c>
      <c r="DW26" s="99" t="str">
        <f t="shared" ca="1" si="14"/>
        <v/>
      </c>
      <c r="DX26" s="99" t="str">
        <f t="shared" ca="1" si="15"/>
        <v/>
      </c>
      <c r="DY26" s="99" t="str">
        <f t="shared" ca="1" si="16"/>
        <v/>
      </c>
      <c r="DZ26" s="99" t="str">
        <f t="shared" ca="1" si="17"/>
        <v/>
      </c>
      <c r="EA26" s="99" t="str">
        <f t="shared" ca="1" si="18"/>
        <v/>
      </c>
      <c r="EB26" s="99" t="str">
        <f t="shared" ca="1" si="19"/>
        <v/>
      </c>
      <c r="EC26" s="99" t="str">
        <f t="shared" ca="1" si="20"/>
        <v/>
      </c>
      <c r="ED26" s="99" t="str">
        <f t="shared" ca="1" si="21"/>
        <v/>
      </c>
      <c r="EE26" s="99" t="str">
        <f t="shared" ca="1" si="22"/>
        <v/>
      </c>
      <c r="EF26" s="99" t="str">
        <f t="shared" ca="1" si="23"/>
        <v/>
      </c>
      <c r="EG26" s="99" t="str">
        <f t="shared" ca="1" si="24"/>
        <v/>
      </c>
      <c r="EH26" s="99" t="str">
        <f t="shared" ca="1" si="25"/>
        <v/>
      </c>
      <c r="EI26" s="99" t="str">
        <f t="shared" ca="1" si="26"/>
        <v/>
      </c>
      <c r="EJ26" s="99" t="str">
        <f t="shared" ca="1" si="27"/>
        <v/>
      </c>
      <c r="EK26" s="99" t="str">
        <f t="shared" ca="1" si="28"/>
        <v/>
      </c>
      <c r="EL26" s="99" t="str">
        <f t="shared" ca="1" si="29"/>
        <v/>
      </c>
      <c r="EM26" s="99" t="str">
        <f t="shared" ca="1" si="30"/>
        <v/>
      </c>
      <c r="EN26" s="99" t="str">
        <f t="shared" ca="1" si="31"/>
        <v/>
      </c>
      <c r="EO26" s="99" t="str">
        <f t="shared" ca="1" si="32"/>
        <v/>
      </c>
      <c r="EP26" s="99" t="str">
        <f t="shared" ca="1" si="33"/>
        <v/>
      </c>
    </row>
    <row r="27" spans="1:146" x14ac:dyDescent="0.25">
      <c r="A27" s="87" t="s">
        <v>50</v>
      </c>
      <c r="B27" s="88">
        <v>2027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37">
        <f>Resources!A26</f>
        <v>0</v>
      </c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54"/>
      <c r="AV27" s="5"/>
      <c r="DL27" s="99" t="str">
        <f t="shared" ca="1" si="3"/>
        <v/>
      </c>
      <c r="DM27" s="99" t="str">
        <f t="shared" ca="1" si="4"/>
        <v/>
      </c>
      <c r="DN27" s="99" t="str">
        <f t="shared" ca="1" si="5"/>
        <v/>
      </c>
      <c r="DO27" s="99" t="str">
        <f t="shared" ca="1" si="6"/>
        <v/>
      </c>
      <c r="DP27" s="99" t="str">
        <f t="shared" ca="1" si="7"/>
        <v/>
      </c>
      <c r="DQ27" s="99" t="str">
        <f t="shared" ca="1" si="8"/>
        <v/>
      </c>
      <c r="DR27" s="99" t="str">
        <f t="shared" ca="1" si="9"/>
        <v/>
      </c>
      <c r="DS27" s="99" t="str">
        <f t="shared" ca="1" si="10"/>
        <v/>
      </c>
      <c r="DT27" s="99" t="str">
        <f t="shared" ca="1" si="11"/>
        <v/>
      </c>
      <c r="DU27" s="99" t="str">
        <f t="shared" ca="1" si="12"/>
        <v/>
      </c>
      <c r="DV27" s="99" t="str">
        <f t="shared" ca="1" si="13"/>
        <v/>
      </c>
      <c r="DW27" s="99" t="str">
        <f t="shared" ca="1" si="14"/>
        <v/>
      </c>
      <c r="DX27" s="99" t="str">
        <f t="shared" ca="1" si="15"/>
        <v/>
      </c>
      <c r="DY27" s="99" t="str">
        <f t="shared" ca="1" si="16"/>
        <v/>
      </c>
      <c r="DZ27" s="99" t="str">
        <f t="shared" ca="1" si="17"/>
        <v/>
      </c>
      <c r="EA27" s="99" t="str">
        <f t="shared" ca="1" si="18"/>
        <v/>
      </c>
      <c r="EB27" s="99" t="str">
        <f t="shared" ca="1" si="19"/>
        <v/>
      </c>
      <c r="EC27" s="99" t="str">
        <f t="shared" ca="1" si="20"/>
        <v/>
      </c>
      <c r="ED27" s="99" t="str">
        <f t="shared" ca="1" si="21"/>
        <v/>
      </c>
      <c r="EE27" s="99" t="str">
        <f t="shared" ca="1" si="22"/>
        <v/>
      </c>
      <c r="EF27" s="99" t="str">
        <f t="shared" ca="1" si="23"/>
        <v/>
      </c>
      <c r="EG27" s="99" t="str">
        <f t="shared" ca="1" si="24"/>
        <v/>
      </c>
      <c r="EH27" s="99" t="str">
        <f t="shared" ca="1" si="25"/>
        <v/>
      </c>
      <c r="EI27" s="99" t="str">
        <f t="shared" ca="1" si="26"/>
        <v/>
      </c>
      <c r="EJ27" s="99" t="str">
        <f t="shared" ca="1" si="27"/>
        <v/>
      </c>
      <c r="EK27" s="99" t="str">
        <f t="shared" ca="1" si="28"/>
        <v/>
      </c>
      <c r="EL27" s="99" t="str">
        <f t="shared" ca="1" si="29"/>
        <v/>
      </c>
      <c r="EM27" s="99" t="str">
        <f t="shared" ca="1" si="30"/>
        <v/>
      </c>
      <c r="EN27" s="99" t="str">
        <f t="shared" ca="1" si="31"/>
        <v/>
      </c>
      <c r="EO27" s="99" t="str">
        <f t="shared" ca="1" si="32"/>
        <v/>
      </c>
      <c r="EP27" s="99" t="str">
        <f t="shared" ca="1" si="33"/>
        <v/>
      </c>
    </row>
    <row r="28" spans="1:146" x14ac:dyDescent="0.25">
      <c r="A28" s="87" t="s">
        <v>51</v>
      </c>
      <c r="B28" s="88">
        <v>2028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37">
        <f>Resources!A27</f>
        <v>0</v>
      </c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54"/>
      <c r="AV28" s="5"/>
      <c r="DL28" s="99" t="str">
        <f t="shared" ca="1" si="3"/>
        <v/>
      </c>
      <c r="DM28" s="99" t="str">
        <f t="shared" ca="1" si="4"/>
        <v/>
      </c>
      <c r="DN28" s="99" t="str">
        <f t="shared" ca="1" si="5"/>
        <v/>
      </c>
      <c r="DO28" s="99" t="str">
        <f t="shared" ca="1" si="6"/>
        <v/>
      </c>
      <c r="DP28" s="99" t="str">
        <f t="shared" ca="1" si="7"/>
        <v/>
      </c>
      <c r="DQ28" s="99" t="str">
        <f t="shared" ca="1" si="8"/>
        <v/>
      </c>
      <c r="DR28" s="99" t="str">
        <f t="shared" ca="1" si="9"/>
        <v/>
      </c>
      <c r="DS28" s="99" t="str">
        <f t="shared" ca="1" si="10"/>
        <v/>
      </c>
      <c r="DT28" s="99" t="str">
        <f t="shared" ca="1" si="11"/>
        <v/>
      </c>
      <c r="DU28" s="99" t="str">
        <f t="shared" ca="1" si="12"/>
        <v/>
      </c>
      <c r="DV28" s="99" t="str">
        <f t="shared" ca="1" si="13"/>
        <v/>
      </c>
      <c r="DW28" s="99" t="str">
        <f t="shared" ca="1" si="14"/>
        <v/>
      </c>
      <c r="DX28" s="99" t="str">
        <f t="shared" ca="1" si="15"/>
        <v/>
      </c>
      <c r="DY28" s="99" t="str">
        <f t="shared" ca="1" si="16"/>
        <v/>
      </c>
      <c r="DZ28" s="99" t="str">
        <f t="shared" ca="1" si="17"/>
        <v/>
      </c>
      <c r="EA28" s="99" t="str">
        <f t="shared" ca="1" si="18"/>
        <v/>
      </c>
      <c r="EB28" s="99" t="str">
        <f t="shared" ca="1" si="19"/>
        <v/>
      </c>
      <c r="EC28" s="99" t="str">
        <f t="shared" ca="1" si="20"/>
        <v/>
      </c>
      <c r="ED28" s="99" t="str">
        <f t="shared" ca="1" si="21"/>
        <v/>
      </c>
      <c r="EE28" s="99" t="str">
        <f t="shared" ca="1" si="22"/>
        <v/>
      </c>
      <c r="EF28" s="99" t="str">
        <f t="shared" ca="1" si="23"/>
        <v/>
      </c>
      <c r="EG28" s="99" t="str">
        <f t="shared" ca="1" si="24"/>
        <v/>
      </c>
      <c r="EH28" s="99" t="str">
        <f t="shared" ca="1" si="25"/>
        <v/>
      </c>
      <c r="EI28" s="99" t="str">
        <f t="shared" ca="1" si="26"/>
        <v/>
      </c>
      <c r="EJ28" s="99" t="str">
        <f t="shared" ca="1" si="27"/>
        <v/>
      </c>
      <c r="EK28" s="99" t="str">
        <f t="shared" ca="1" si="28"/>
        <v/>
      </c>
      <c r="EL28" s="99" t="str">
        <f t="shared" ca="1" si="29"/>
        <v/>
      </c>
      <c r="EM28" s="99" t="str">
        <f t="shared" ca="1" si="30"/>
        <v/>
      </c>
      <c r="EN28" s="99" t="str">
        <f t="shared" ca="1" si="31"/>
        <v/>
      </c>
      <c r="EO28" s="99" t="str">
        <f t="shared" ca="1" si="32"/>
        <v/>
      </c>
      <c r="EP28" s="99" t="str">
        <f t="shared" ca="1" si="33"/>
        <v/>
      </c>
    </row>
    <row r="29" spans="1:146" x14ac:dyDescent="0.25">
      <c r="A29" s="87" t="s">
        <v>52</v>
      </c>
      <c r="B29" s="88">
        <v>2029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37">
        <f>Resources!A28</f>
        <v>0</v>
      </c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54"/>
      <c r="AV29" s="5"/>
      <c r="DL29" s="99" t="str">
        <f t="shared" ca="1" si="3"/>
        <v/>
      </c>
      <c r="DM29" s="99" t="str">
        <f t="shared" ca="1" si="4"/>
        <v/>
      </c>
      <c r="DN29" s="99" t="str">
        <f t="shared" ca="1" si="5"/>
        <v/>
      </c>
      <c r="DO29" s="99" t="str">
        <f t="shared" ca="1" si="6"/>
        <v/>
      </c>
      <c r="DP29" s="99" t="str">
        <f t="shared" ca="1" si="7"/>
        <v/>
      </c>
      <c r="DQ29" s="99" t="str">
        <f t="shared" ca="1" si="8"/>
        <v/>
      </c>
      <c r="DR29" s="99" t="str">
        <f t="shared" ca="1" si="9"/>
        <v/>
      </c>
      <c r="DS29" s="99" t="str">
        <f t="shared" ca="1" si="10"/>
        <v/>
      </c>
      <c r="DT29" s="99" t="str">
        <f t="shared" ca="1" si="11"/>
        <v/>
      </c>
      <c r="DU29" s="99" t="str">
        <f t="shared" ca="1" si="12"/>
        <v/>
      </c>
      <c r="DV29" s="99" t="str">
        <f t="shared" ca="1" si="13"/>
        <v/>
      </c>
      <c r="DW29" s="99" t="str">
        <f t="shared" ca="1" si="14"/>
        <v/>
      </c>
      <c r="DX29" s="99" t="str">
        <f t="shared" ca="1" si="15"/>
        <v/>
      </c>
      <c r="DY29" s="99" t="str">
        <f t="shared" ca="1" si="16"/>
        <v/>
      </c>
      <c r="DZ29" s="99" t="str">
        <f t="shared" ca="1" si="17"/>
        <v/>
      </c>
      <c r="EA29" s="99" t="str">
        <f t="shared" ca="1" si="18"/>
        <v/>
      </c>
      <c r="EB29" s="99" t="str">
        <f t="shared" ca="1" si="19"/>
        <v/>
      </c>
      <c r="EC29" s="99" t="str">
        <f t="shared" ca="1" si="20"/>
        <v/>
      </c>
      <c r="ED29" s="99" t="str">
        <f t="shared" ca="1" si="21"/>
        <v/>
      </c>
      <c r="EE29" s="99" t="str">
        <f t="shared" ca="1" si="22"/>
        <v/>
      </c>
      <c r="EF29" s="99" t="str">
        <f t="shared" ca="1" si="23"/>
        <v/>
      </c>
      <c r="EG29" s="99" t="str">
        <f t="shared" ca="1" si="24"/>
        <v/>
      </c>
      <c r="EH29" s="99" t="str">
        <f t="shared" ca="1" si="25"/>
        <v/>
      </c>
      <c r="EI29" s="99" t="str">
        <f t="shared" ca="1" si="26"/>
        <v/>
      </c>
      <c r="EJ29" s="99" t="str">
        <f t="shared" ca="1" si="27"/>
        <v/>
      </c>
      <c r="EK29" s="99" t="str">
        <f t="shared" ca="1" si="28"/>
        <v/>
      </c>
      <c r="EL29" s="99" t="str">
        <f t="shared" ca="1" si="29"/>
        <v/>
      </c>
      <c r="EM29" s="99" t="str">
        <f t="shared" ca="1" si="30"/>
        <v/>
      </c>
      <c r="EN29" s="99" t="str">
        <f t="shared" ca="1" si="31"/>
        <v/>
      </c>
      <c r="EO29" s="99" t="str">
        <f t="shared" ca="1" si="32"/>
        <v/>
      </c>
      <c r="EP29" s="99" t="str">
        <f t="shared" ca="1" si="33"/>
        <v/>
      </c>
    </row>
    <row r="30" spans="1:146" x14ac:dyDescent="0.25">
      <c r="A30" s="87" t="s">
        <v>53</v>
      </c>
      <c r="B30" s="88">
        <v>2030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37">
        <f>Resources!A29</f>
        <v>0</v>
      </c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54"/>
      <c r="AV30" s="5"/>
      <c r="DL30" s="99" t="str">
        <f t="shared" ca="1" si="3"/>
        <v/>
      </c>
      <c r="DM30" s="99" t="str">
        <f t="shared" ca="1" si="4"/>
        <v/>
      </c>
      <c r="DN30" s="99" t="str">
        <f t="shared" ca="1" si="5"/>
        <v/>
      </c>
      <c r="DO30" s="99" t="str">
        <f t="shared" ca="1" si="6"/>
        <v/>
      </c>
      <c r="DP30" s="99" t="str">
        <f t="shared" ca="1" si="7"/>
        <v/>
      </c>
      <c r="DQ30" s="99" t="str">
        <f t="shared" ca="1" si="8"/>
        <v/>
      </c>
      <c r="DR30" s="99" t="str">
        <f t="shared" ca="1" si="9"/>
        <v/>
      </c>
      <c r="DS30" s="99" t="str">
        <f t="shared" ca="1" si="10"/>
        <v/>
      </c>
      <c r="DT30" s="99" t="str">
        <f t="shared" ca="1" si="11"/>
        <v/>
      </c>
      <c r="DU30" s="99" t="str">
        <f t="shared" ca="1" si="12"/>
        <v/>
      </c>
      <c r="DV30" s="99" t="str">
        <f t="shared" ca="1" si="13"/>
        <v/>
      </c>
      <c r="DW30" s="99" t="str">
        <f t="shared" ca="1" si="14"/>
        <v/>
      </c>
      <c r="DX30" s="99" t="str">
        <f t="shared" ca="1" si="15"/>
        <v/>
      </c>
      <c r="DY30" s="99" t="str">
        <f t="shared" ca="1" si="16"/>
        <v/>
      </c>
      <c r="DZ30" s="99" t="str">
        <f t="shared" ca="1" si="17"/>
        <v/>
      </c>
      <c r="EA30" s="99" t="str">
        <f t="shared" ca="1" si="18"/>
        <v/>
      </c>
      <c r="EB30" s="99" t="str">
        <f t="shared" ca="1" si="19"/>
        <v/>
      </c>
      <c r="EC30" s="99" t="str">
        <f t="shared" ca="1" si="20"/>
        <v/>
      </c>
      <c r="ED30" s="99" t="str">
        <f t="shared" ca="1" si="21"/>
        <v/>
      </c>
      <c r="EE30" s="99" t="str">
        <f t="shared" ca="1" si="22"/>
        <v/>
      </c>
      <c r="EF30" s="99" t="str">
        <f t="shared" ca="1" si="23"/>
        <v/>
      </c>
      <c r="EG30" s="99" t="str">
        <f t="shared" ca="1" si="24"/>
        <v/>
      </c>
      <c r="EH30" s="99" t="str">
        <f t="shared" ca="1" si="25"/>
        <v/>
      </c>
      <c r="EI30" s="99" t="str">
        <f t="shared" ca="1" si="26"/>
        <v/>
      </c>
      <c r="EJ30" s="99" t="str">
        <f t="shared" ca="1" si="27"/>
        <v/>
      </c>
      <c r="EK30" s="99" t="str">
        <f t="shared" ca="1" si="28"/>
        <v/>
      </c>
      <c r="EL30" s="99" t="str">
        <f t="shared" ca="1" si="29"/>
        <v/>
      </c>
      <c r="EM30" s="99" t="str">
        <f t="shared" ca="1" si="30"/>
        <v/>
      </c>
      <c r="EN30" s="99" t="str">
        <f t="shared" ca="1" si="31"/>
        <v/>
      </c>
      <c r="EO30" s="99" t="str">
        <f t="shared" ca="1" si="32"/>
        <v/>
      </c>
      <c r="EP30" s="99" t="str">
        <f t="shared" ca="1" si="33"/>
        <v/>
      </c>
    </row>
    <row r="31" spans="1:146" x14ac:dyDescent="0.25">
      <c r="A31" s="2"/>
      <c r="B31" s="2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37">
        <f>Resources!A30</f>
        <v>0</v>
      </c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54"/>
      <c r="AV31" s="5"/>
      <c r="DL31" s="99" t="str">
        <f t="shared" ca="1" si="3"/>
        <v/>
      </c>
      <c r="DM31" s="99" t="str">
        <f t="shared" ca="1" si="4"/>
        <v/>
      </c>
      <c r="DN31" s="99" t="str">
        <f t="shared" ca="1" si="5"/>
        <v/>
      </c>
      <c r="DO31" s="99" t="str">
        <f t="shared" ca="1" si="6"/>
        <v/>
      </c>
      <c r="DP31" s="99" t="str">
        <f t="shared" ca="1" si="7"/>
        <v/>
      </c>
      <c r="DQ31" s="99" t="str">
        <f t="shared" ca="1" si="8"/>
        <v/>
      </c>
      <c r="DR31" s="99" t="str">
        <f t="shared" ca="1" si="9"/>
        <v/>
      </c>
      <c r="DS31" s="99" t="str">
        <f t="shared" ca="1" si="10"/>
        <v/>
      </c>
      <c r="DT31" s="99" t="str">
        <f t="shared" ca="1" si="11"/>
        <v/>
      </c>
      <c r="DU31" s="99" t="str">
        <f t="shared" ca="1" si="12"/>
        <v/>
      </c>
      <c r="DV31" s="99" t="str">
        <f t="shared" ca="1" si="13"/>
        <v/>
      </c>
      <c r="DW31" s="99" t="str">
        <f t="shared" ca="1" si="14"/>
        <v/>
      </c>
      <c r="DX31" s="99" t="str">
        <f t="shared" ca="1" si="15"/>
        <v/>
      </c>
      <c r="DY31" s="99" t="str">
        <f t="shared" ca="1" si="16"/>
        <v/>
      </c>
      <c r="DZ31" s="99" t="str">
        <f t="shared" ca="1" si="17"/>
        <v/>
      </c>
      <c r="EA31" s="99" t="str">
        <f t="shared" ca="1" si="18"/>
        <v/>
      </c>
      <c r="EB31" s="99" t="str">
        <f t="shared" ca="1" si="19"/>
        <v/>
      </c>
      <c r="EC31" s="99" t="str">
        <f t="shared" ca="1" si="20"/>
        <v/>
      </c>
      <c r="ED31" s="99" t="str">
        <f t="shared" ca="1" si="21"/>
        <v/>
      </c>
      <c r="EE31" s="99" t="str">
        <f t="shared" ca="1" si="22"/>
        <v/>
      </c>
      <c r="EF31" s="99" t="str">
        <f t="shared" ca="1" si="23"/>
        <v/>
      </c>
      <c r="EG31" s="99" t="str">
        <f t="shared" ca="1" si="24"/>
        <v/>
      </c>
      <c r="EH31" s="99" t="str">
        <f t="shared" ca="1" si="25"/>
        <v/>
      </c>
      <c r="EI31" s="99" t="str">
        <f t="shared" ca="1" si="26"/>
        <v/>
      </c>
      <c r="EJ31" s="99" t="str">
        <f t="shared" ca="1" si="27"/>
        <v/>
      </c>
      <c r="EK31" s="99" t="str">
        <f t="shared" ca="1" si="28"/>
        <v/>
      </c>
      <c r="EL31" s="99" t="str">
        <f t="shared" ca="1" si="29"/>
        <v/>
      </c>
      <c r="EM31" s="99" t="str">
        <f t="shared" ca="1" si="30"/>
        <v/>
      </c>
      <c r="EN31" s="99" t="str">
        <f t="shared" ca="1" si="31"/>
        <v/>
      </c>
      <c r="EO31" s="99" t="str">
        <f t="shared" ca="1" si="32"/>
        <v/>
      </c>
      <c r="EP31" s="99" t="str">
        <f t="shared" ca="1" si="33"/>
        <v/>
      </c>
    </row>
    <row r="32" spans="1:146" x14ac:dyDescent="0.25">
      <c r="A32" s="2"/>
      <c r="B32" s="2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37">
        <f>Resources!A31</f>
        <v>0</v>
      </c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54"/>
      <c r="AV32" s="5"/>
      <c r="DL32" s="99" t="str">
        <f t="shared" ca="1" si="3"/>
        <v/>
      </c>
      <c r="DM32" s="99" t="str">
        <f t="shared" ca="1" si="4"/>
        <v/>
      </c>
      <c r="DN32" s="99" t="str">
        <f t="shared" ca="1" si="5"/>
        <v/>
      </c>
      <c r="DO32" s="99" t="str">
        <f t="shared" ca="1" si="6"/>
        <v/>
      </c>
      <c r="DP32" s="99" t="str">
        <f t="shared" ca="1" si="7"/>
        <v/>
      </c>
      <c r="DQ32" s="99" t="str">
        <f t="shared" ca="1" si="8"/>
        <v/>
      </c>
      <c r="DR32" s="99" t="str">
        <f t="shared" ca="1" si="9"/>
        <v/>
      </c>
      <c r="DS32" s="99" t="str">
        <f t="shared" ca="1" si="10"/>
        <v/>
      </c>
      <c r="DT32" s="99" t="str">
        <f t="shared" ca="1" si="11"/>
        <v/>
      </c>
      <c r="DU32" s="99" t="str">
        <f t="shared" ca="1" si="12"/>
        <v/>
      </c>
      <c r="DV32" s="99" t="str">
        <f t="shared" ca="1" si="13"/>
        <v/>
      </c>
      <c r="DW32" s="99" t="str">
        <f t="shared" ca="1" si="14"/>
        <v/>
      </c>
      <c r="DX32" s="99" t="str">
        <f t="shared" ca="1" si="15"/>
        <v/>
      </c>
      <c r="DY32" s="99" t="str">
        <f t="shared" ca="1" si="16"/>
        <v/>
      </c>
      <c r="DZ32" s="99" t="str">
        <f t="shared" ca="1" si="17"/>
        <v/>
      </c>
      <c r="EA32" s="99" t="str">
        <f t="shared" ca="1" si="18"/>
        <v/>
      </c>
      <c r="EB32" s="99" t="str">
        <f t="shared" ca="1" si="19"/>
        <v/>
      </c>
      <c r="EC32" s="99" t="str">
        <f t="shared" ca="1" si="20"/>
        <v/>
      </c>
      <c r="ED32" s="99" t="str">
        <f t="shared" ca="1" si="21"/>
        <v/>
      </c>
      <c r="EE32" s="99" t="str">
        <f t="shared" ca="1" si="22"/>
        <v/>
      </c>
      <c r="EF32" s="99" t="str">
        <f t="shared" ca="1" si="23"/>
        <v/>
      </c>
      <c r="EG32" s="99" t="str">
        <f t="shared" ca="1" si="24"/>
        <v/>
      </c>
      <c r="EH32" s="99" t="str">
        <f t="shared" ca="1" si="25"/>
        <v/>
      </c>
      <c r="EI32" s="99" t="str">
        <f t="shared" ca="1" si="26"/>
        <v/>
      </c>
      <c r="EJ32" s="99" t="str">
        <f t="shared" ca="1" si="27"/>
        <v/>
      </c>
      <c r="EK32" s="99" t="str">
        <f t="shared" ca="1" si="28"/>
        <v/>
      </c>
      <c r="EL32" s="99" t="str">
        <f t="shared" ca="1" si="29"/>
        <v/>
      </c>
      <c r="EM32" s="99" t="str">
        <f t="shared" ca="1" si="30"/>
        <v/>
      </c>
      <c r="EN32" s="99" t="str">
        <f t="shared" ca="1" si="31"/>
        <v/>
      </c>
      <c r="EO32" s="99" t="str">
        <f t="shared" ca="1" si="32"/>
        <v/>
      </c>
      <c r="EP32" s="99" t="str">
        <f t="shared" ca="1" si="33"/>
        <v/>
      </c>
    </row>
    <row r="33" spans="1:146" x14ac:dyDescent="0.25">
      <c r="A33" s="2"/>
      <c r="B33" s="2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37">
        <f>Resources!A32</f>
        <v>0</v>
      </c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54"/>
      <c r="AV33" s="5"/>
      <c r="DL33" s="99" t="str">
        <f t="shared" ca="1" si="3"/>
        <v/>
      </c>
      <c r="DM33" s="99" t="str">
        <f t="shared" ca="1" si="4"/>
        <v/>
      </c>
      <c r="DN33" s="99" t="str">
        <f t="shared" ca="1" si="5"/>
        <v/>
      </c>
      <c r="DO33" s="99" t="str">
        <f t="shared" ca="1" si="6"/>
        <v/>
      </c>
      <c r="DP33" s="99" t="str">
        <f t="shared" ca="1" si="7"/>
        <v/>
      </c>
      <c r="DQ33" s="99" t="str">
        <f t="shared" ca="1" si="8"/>
        <v/>
      </c>
      <c r="DR33" s="99" t="str">
        <f t="shared" ca="1" si="9"/>
        <v/>
      </c>
      <c r="DS33" s="99" t="str">
        <f t="shared" ca="1" si="10"/>
        <v/>
      </c>
      <c r="DT33" s="99" t="str">
        <f t="shared" ca="1" si="11"/>
        <v/>
      </c>
      <c r="DU33" s="99" t="str">
        <f t="shared" ca="1" si="12"/>
        <v/>
      </c>
      <c r="DV33" s="99" t="str">
        <f t="shared" ca="1" si="13"/>
        <v/>
      </c>
      <c r="DW33" s="99" t="str">
        <f t="shared" ca="1" si="14"/>
        <v/>
      </c>
      <c r="DX33" s="99" t="str">
        <f t="shared" ca="1" si="15"/>
        <v/>
      </c>
      <c r="DY33" s="99" t="str">
        <f t="shared" ca="1" si="16"/>
        <v/>
      </c>
      <c r="DZ33" s="99" t="str">
        <f t="shared" ca="1" si="17"/>
        <v/>
      </c>
      <c r="EA33" s="99" t="str">
        <f t="shared" ca="1" si="18"/>
        <v/>
      </c>
      <c r="EB33" s="99" t="str">
        <f t="shared" ca="1" si="19"/>
        <v/>
      </c>
      <c r="EC33" s="99" t="str">
        <f t="shared" ca="1" si="20"/>
        <v/>
      </c>
      <c r="ED33" s="99" t="str">
        <f t="shared" ca="1" si="21"/>
        <v/>
      </c>
      <c r="EE33" s="99" t="str">
        <f t="shared" ca="1" si="22"/>
        <v/>
      </c>
      <c r="EF33" s="99" t="str">
        <f t="shared" ca="1" si="23"/>
        <v/>
      </c>
      <c r="EG33" s="99" t="str">
        <f t="shared" ca="1" si="24"/>
        <v/>
      </c>
      <c r="EH33" s="99" t="str">
        <f t="shared" ca="1" si="25"/>
        <v/>
      </c>
      <c r="EI33" s="99" t="str">
        <f t="shared" ca="1" si="26"/>
        <v/>
      </c>
      <c r="EJ33" s="99" t="str">
        <f t="shared" ca="1" si="27"/>
        <v/>
      </c>
      <c r="EK33" s="99" t="str">
        <f t="shared" ca="1" si="28"/>
        <v/>
      </c>
      <c r="EL33" s="99" t="str">
        <f t="shared" ca="1" si="29"/>
        <v/>
      </c>
      <c r="EM33" s="99" t="str">
        <f t="shared" ca="1" si="30"/>
        <v/>
      </c>
      <c r="EN33" s="99" t="str">
        <f t="shared" ca="1" si="31"/>
        <v/>
      </c>
      <c r="EO33" s="99" t="str">
        <f t="shared" ca="1" si="32"/>
        <v/>
      </c>
      <c r="EP33" s="99" t="str">
        <f t="shared" ca="1" si="33"/>
        <v/>
      </c>
    </row>
    <row r="34" spans="1:146" x14ac:dyDescent="0.25">
      <c r="A34" s="2"/>
      <c r="B34" s="2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37">
        <f>Resources!A33</f>
        <v>0</v>
      </c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54"/>
      <c r="AV34" s="5"/>
      <c r="DL34" s="99" t="str">
        <f t="shared" ca="1" si="3"/>
        <v/>
      </c>
      <c r="DM34" s="99" t="str">
        <f t="shared" ca="1" si="4"/>
        <v/>
      </c>
      <c r="DN34" s="99" t="str">
        <f t="shared" ca="1" si="5"/>
        <v/>
      </c>
      <c r="DO34" s="99" t="str">
        <f t="shared" ca="1" si="6"/>
        <v/>
      </c>
      <c r="DP34" s="99" t="str">
        <f t="shared" ca="1" si="7"/>
        <v/>
      </c>
      <c r="DQ34" s="99" t="str">
        <f t="shared" ca="1" si="8"/>
        <v/>
      </c>
      <c r="DR34" s="99" t="str">
        <f t="shared" ca="1" si="9"/>
        <v/>
      </c>
      <c r="DS34" s="99" t="str">
        <f t="shared" ca="1" si="10"/>
        <v/>
      </c>
      <c r="DT34" s="99" t="str">
        <f t="shared" ca="1" si="11"/>
        <v/>
      </c>
      <c r="DU34" s="99" t="str">
        <f t="shared" ca="1" si="12"/>
        <v/>
      </c>
      <c r="DV34" s="99" t="str">
        <f t="shared" ca="1" si="13"/>
        <v/>
      </c>
      <c r="DW34" s="99" t="str">
        <f t="shared" ca="1" si="14"/>
        <v/>
      </c>
      <c r="DX34" s="99" t="str">
        <f t="shared" ca="1" si="15"/>
        <v/>
      </c>
      <c r="DY34" s="99" t="str">
        <f t="shared" ca="1" si="16"/>
        <v/>
      </c>
      <c r="DZ34" s="99" t="str">
        <f t="shared" ca="1" si="17"/>
        <v/>
      </c>
      <c r="EA34" s="99" t="str">
        <f t="shared" ca="1" si="18"/>
        <v/>
      </c>
      <c r="EB34" s="99" t="str">
        <f t="shared" ca="1" si="19"/>
        <v/>
      </c>
      <c r="EC34" s="99" t="str">
        <f t="shared" ca="1" si="20"/>
        <v/>
      </c>
      <c r="ED34" s="99" t="str">
        <f t="shared" ca="1" si="21"/>
        <v/>
      </c>
      <c r="EE34" s="99" t="str">
        <f t="shared" ca="1" si="22"/>
        <v/>
      </c>
      <c r="EF34" s="99" t="str">
        <f t="shared" ca="1" si="23"/>
        <v/>
      </c>
      <c r="EG34" s="99" t="str">
        <f t="shared" ca="1" si="24"/>
        <v/>
      </c>
      <c r="EH34" s="99" t="str">
        <f t="shared" ca="1" si="25"/>
        <v/>
      </c>
      <c r="EI34" s="99" t="str">
        <f t="shared" ca="1" si="26"/>
        <v/>
      </c>
      <c r="EJ34" s="99" t="str">
        <f t="shared" ca="1" si="27"/>
        <v/>
      </c>
      <c r="EK34" s="99" t="str">
        <f t="shared" ca="1" si="28"/>
        <v/>
      </c>
      <c r="EL34" s="99" t="str">
        <f t="shared" ca="1" si="29"/>
        <v/>
      </c>
      <c r="EM34" s="99" t="str">
        <f t="shared" ca="1" si="30"/>
        <v/>
      </c>
      <c r="EN34" s="99" t="str">
        <f t="shared" ca="1" si="31"/>
        <v/>
      </c>
      <c r="EO34" s="99" t="str">
        <f t="shared" ca="1" si="32"/>
        <v/>
      </c>
      <c r="EP34" s="99" t="str">
        <f t="shared" ca="1" si="33"/>
        <v/>
      </c>
    </row>
    <row r="35" spans="1:146" x14ac:dyDescent="0.25">
      <c r="A35" s="2"/>
      <c r="B35" s="2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37">
        <f>Resources!A34</f>
        <v>0</v>
      </c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54"/>
      <c r="AV35" s="5"/>
      <c r="DL35" s="99" t="str">
        <f t="shared" ca="1" si="3"/>
        <v/>
      </c>
      <c r="DM35" s="99" t="str">
        <f t="shared" ca="1" si="4"/>
        <v/>
      </c>
      <c r="DN35" s="99" t="str">
        <f t="shared" ca="1" si="5"/>
        <v/>
      </c>
      <c r="DO35" s="99" t="str">
        <f t="shared" ca="1" si="6"/>
        <v/>
      </c>
      <c r="DP35" s="99" t="str">
        <f t="shared" ca="1" si="7"/>
        <v/>
      </c>
      <c r="DQ35" s="99" t="str">
        <f t="shared" ca="1" si="8"/>
        <v/>
      </c>
      <c r="DR35" s="99" t="str">
        <f t="shared" ca="1" si="9"/>
        <v/>
      </c>
      <c r="DS35" s="99" t="str">
        <f t="shared" ca="1" si="10"/>
        <v/>
      </c>
      <c r="DT35" s="99" t="str">
        <f t="shared" ca="1" si="11"/>
        <v/>
      </c>
      <c r="DU35" s="99" t="str">
        <f t="shared" ca="1" si="12"/>
        <v/>
      </c>
      <c r="DV35" s="99" t="str">
        <f t="shared" ca="1" si="13"/>
        <v/>
      </c>
      <c r="DW35" s="99" t="str">
        <f t="shared" ca="1" si="14"/>
        <v/>
      </c>
      <c r="DX35" s="99" t="str">
        <f t="shared" ca="1" si="15"/>
        <v/>
      </c>
      <c r="DY35" s="99" t="str">
        <f t="shared" ca="1" si="16"/>
        <v/>
      </c>
      <c r="DZ35" s="99" t="str">
        <f t="shared" ca="1" si="17"/>
        <v/>
      </c>
      <c r="EA35" s="99" t="str">
        <f t="shared" ca="1" si="18"/>
        <v/>
      </c>
      <c r="EB35" s="99" t="str">
        <f t="shared" ca="1" si="19"/>
        <v/>
      </c>
      <c r="EC35" s="99" t="str">
        <f t="shared" ca="1" si="20"/>
        <v/>
      </c>
      <c r="ED35" s="99" t="str">
        <f t="shared" ca="1" si="21"/>
        <v/>
      </c>
      <c r="EE35" s="99" t="str">
        <f t="shared" ca="1" si="22"/>
        <v/>
      </c>
      <c r="EF35" s="99" t="str">
        <f t="shared" ca="1" si="23"/>
        <v/>
      </c>
      <c r="EG35" s="99" t="str">
        <f t="shared" ca="1" si="24"/>
        <v/>
      </c>
      <c r="EH35" s="99" t="str">
        <f t="shared" ca="1" si="25"/>
        <v/>
      </c>
      <c r="EI35" s="99" t="str">
        <f t="shared" ca="1" si="26"/>
        <v/>
      </c>
      <c r="EJ35" s="99" t="str">
        <f t="shared" ca="1" si="27"/>
        <v/>
      </c>
      <c r="EK35" s="99" t="str">
        <f t="shared" ca="1" si="28"/>
        <v/>
      </c>
      <c r="EL35" s="99" t="str">
        <f t="shared" ca="1" si="29"/>
        <v/>
      </c>
      <c r="EM35" s="99" t="str">
        <f t="shared" ca="1" si="30"/>
        <v/>
      </c>
      <c r="EN35" s="99" t="str">
        <f t="shared" ca="1" si="31"/>
        <v/>
      </c>
      <c r="EO35" s="99" t="str">
        <f t="shared" ca="1" si="32"/>
        <v/>
      </c>
      <c r="EP35" s="99" t="str">
        <f t="shared" ca="1" si="33"/>
        <v/>
      </c>
    </row>
    <row r="36" spans="1:146" x14ac:dyDescent="0.25">
      <c r="A36" s="2"/>
      <c r="B36" s="2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37">
        <f>Resources!A35</f>
        <v>0</v>
      </c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54"/>
      <c r="AV36" s="5"/>
      <c r="DL36" s="99" t="str">
        <f t="shared" ca="1" si="3"/>
        <v/>
      </c>
      <c r="DM36" s="99" t="str">
        <f t="shared" ca="1" si="4"/>
        <v/>
      </c>
      <c r="DN36" s="99" t="str">
        <f t="shared" ca="1" si="5"/>
        <v/>
      </c>
      <c r="DO36" s="99" t="str">
        <f t="shared" ca="1" si="6"/>
        <v/>
      </c>
      <c r="DP36" s="99" t="str">
        <f t="shared" ca="1" si="7"/>
        <v/>
      </c>
      <c r="DQ36" s="99" t="str">
        <f t="shared" ca="1" si="8"/>
        <v/>
      </c>
      <c r="DR36" s="99" t="str">
        <f t="shared" ca="1" si="9"/>
        <v/>
      </c>
      <c r="DS36" s="99" t="str">
        <f t="shared" ca="1" si="10"/>
        <v/>
      </c>
      <c r="DT36" s="99" t="str">
        <f t="shared" ca="1" si="11"/>
        <v/>
      </c>
      <c r="DU36" s="99" t="str">
        <f t="shared" ca="1" si="12"/>
        <v/>
      </c>
      <c r="DV36" s="99" t="str">
        <f t="shared" ca="1" si="13"/>
        <v/>
      </c>
      <c r="DW36" s="99" t="str">
        <f t="shared" ca="1" si="14"/>
        <v/>
      </c>
      <c r="DX36" s="99" t="str">
        <f t="shared" ca="1" si="15"/>
        <v/>
      </c>
      <c r="DY36" s="99" t="str">
        <f t="shared" ca="1" si="16"/>
        <v/>
      </c>
      <c r="DZ36" s="99" t="str">
        <f t="shared" ca="1" si="17"/>
        <v/>
      </c>
      <c r="EA36" s="99" t="str">
        <f t="shared" ca="1" si="18"/>
        <v/>
      </c>
      <c r="EB36" s="99" t="str">
        <f t="shared" ca="1" si="19"/>
        <v/>
      </c>
      <c r="EC36" s="99" t="str">
        <f t="shared" ca="1" si="20"/>
        <v/>
      </c>
      <c r="ED36" s="99" t="str">
        <f t="shared" ca="1" si="21"/>
        <v/>
      </c>
      <c r="EE36" s="99" t="str">
        <f t="shared" ca="1" si="22"/>
        <v/>
      </c>
      <c r="EF36" s="99" t="str">
        <f t="shared" ca="1" si="23"/>
        <v/>
      </c>
      <c r="EG36" s="99" t="str">
        <f t="shared" ca="1" si="24"/>
        <v/>
      </c>
      <c r="EH36" s="99" t="str">
        <f t="shared" ca="1" si="25"/>
        <v/>
      </c>
      <c r="EI36" s="99" t="str">
        <f t="shared" ca="1" si="26"/>
        <v/>
      </c>
      <c r="EJ36" s="99" t="str">
        <f t="shared" ca="1" si="27"/>
        <v/>
      </c>
      <c r="EK36" s="99" t="str">
        <f t="shared" ca="1" si="28"/>
        <v/>
      </c>
      <c r="EL36" s="99" t="str">
        <f t="shared" ca="1" si="29"/>
        <v/>
      </c>
      <c r="EM36" s="99" t="str">
        <f t="shared" ca="1" si="30"/>
        <v/>
      </c>
      <c r="EN36" s="99" t="str">
        <f t="shared" ca="1" si="31"/>
        <v/>
      </c>
      <c r="EO36" s="99" t="str">
        <f t="shared" ca="1" si="32"/>
        <v/>
      </c>
      <c r="EP36" s="99" t="str">
        <f t="shared" ca="1" si="33"/>
        <v/>
      </c>
    </row>
    <row r="37" spans="1:146" x14ac:dyDescent="0.25">
      <c r="A37" s="2"/>
      <c r="B37" s="2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37">
        <f>Resources!A36</f>
        <v>0</v>
      </c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60"/>
      <c r="AV37" s="5"/>
      <c r="DL37" s="99" t="str">
        <f t="shared" ca="1" si="3"/>
        <v/>
      </c>
      <c r="DM37" s="99" t="str">
        <f t="shared" ca="1" si="4"/>
        <v/>
      </c>
      <c r="DN37" s="99" t="str">
        <f t="shared" ca="1" si="5"/>
        <v/>
      </c>
      <c r="DO37" s="99" t="str">
        <f t="shared" ca="1" si="6"/>
        <v/>
      </c>
      <c r="DP37" s="99" t="str">
        <f t="shared" ca="1" si="7"/>
        <v/>
      </c>
      <c r="DQ37" s="99" t="str">
        <f t="shared" ca="1" si="8"/>
        <v/>
      </c>
      <c r="DR37" s="99" t="str">
        <f t="shared" ca="1" si="9"/>
        <v/>
      </c>
      <c r="DS37" s="99" t="str">
        <f t="shared" ca="1" si="10"/>
        <v/>
      </c>
      <c r="DT37" s="99" t="str">
        <f t="shared" ca="1" si="11"/>
        <v/>
      </c>
      <c r="DU37" s="99" t="str">
        <f t="shared" ca="1" si="12"/>
        <v/>
      </c>
      <c r="DV37" s="99" t="str">
        <f t="shared" ca="1" si="13"/>
        <v/>
      </c>
      <c r="DW37" s="99" t="str">
        <f t="shared" ca="1" si="14"/>
        <v/>
      </c>
      <c r="DX37" s="99" t="str">
        <f t="shared" ca="1" si="15"/>
        <v/>
      </c>
      <c r="DY37" s="99" t="str">
        <f t="shared" ca="1" si="16"/>
        <v/>
      </c>
      <c r="DZ37" s="99" t="str">
        <f t="shared" ca="1" si="17"/>
        <v/>
      </c>
      <c r="EA37" s="99" t="str">
        <f t="shared" ca="1" si="18"/>
        <v/>
      </c>
      <c r="EB37" s="99" t="str">
        <f t="shared" ca="1" si="19"/>
        <v/>
      </c>
      <c r="EC37" s="99" t="str">
        <f t="shared" ca="1" si="20"/>
        <v/>
      </c>
      <c r="ED37" s="99" t="str">
        <f t="shared" ca="1" si="21"/>
        <v/>
      </c>
      <c r="EE37" s="99" t="str">
        <f t="shared" ca="1" si="22"/>
        <v/>
      </c>
      <c r="EF37" s="99" t="str">
        <f t="shared" ca="1" si="23"/>
        <v/>
      </c>
      <c r="EG37" s="99" t="str">
        <f t="shared" ca="1" si="24"/>
        <v/>
      </c>
      <c r="EH37" s="99" t="str">
        <f t="shared" ca="1" si="25"/>
        <v/>
      </c>
      <c r="EI37" s="99" t="str">
        <f t="shared" ca="1" si="26"/>
        <v/>
      </c>
      <c r="EJ37" s="99" t="str">
        <f t="shared" ca="1" si="27"/>
        <v/>
      </c>
      <c r="EK37" s="99" t="str">
        <f t="shared" ca="1" si="28"/>
        <v/>
      </c>
      <c r="EL37" s="99" t="str">
        <f t="shared" ca="1" si="29"/>
        <v/>
      </c>
      <c r="EM37" s="99" t="str">
        <f t="shared" ca="1" si="30"/>
        <v/>
      </c>
      <c r="EN37" s="99" t="str">
        <f t="shared" ca="1" si="31"/>
        <v/>
      </c>
      <c r="EO37" s="99" t="str">
        <f t="shared" ca="1" si="32"/>
        <v/>
      </c>
      <c r="EP37" s="99" t="str">
        <f t="shared" ca="1" si="33"/>
        <v/>
      </c>
    </row>
    <row r="38" spans="1:146" x14ac:dyDescent="0.25">
      <c r="O38" s="36">
        <f>Resources!A37</f>
        <v>0</v>
      </c>
    </row>
    <row r="39" spans="1:146" x14ac:dyDescent="0.25">
      <c r="O39" s="36">
        <f>Resources!A38</f>
        <v>0</v>
      </c>
    </row>
    <row r="40" spans="1:146" x14ac:dyDescent="0.25">
      <c r="O40" s="36">
        <f>Resources!A39</f>
        <v>0</v>
      </c>
    </row>
    <row r="41" spans="1:146" x14ac:dyDescent="0.25">
      <c r="O41" s="36">
        <f>Resources!A40</f>
        <v>0</v>
      </c>
    </row>
    <row r="42" spans="1:146" x14ac:dyDescent="0.25">
      <c r="O42" s="36">
        <f>Resources!A41</f>
        <v>0</v>
      </c>
    </row>
    <row r="43" spans="1:146" x14ac:dyDescent="0.25">
      <c r="O43" s="36">
        <f>Resources!A42</f>
        <v>0</v>
      </c>
    </row>
    <row r="44" spans="1:146" x14ac:dyDescent="0.25">
      <c r="O44" s="36">
        <f>Resources!A43</f>
        <v>0</v>
      </c>
    </row>
    <row r="45" spans="1:146" x14ac:dyDescent="0.25">
      <c r="O45" s="36">
        <f>Resources!A44</f>
        <v>0</v>
      </c>
    </row>
    <row r="46" spans="1:146" x14ac:dyDescent="0.25">
      <c r="O46" s="36">
        <f>Resources!A45</f>
        <v>0</v>
      </c>
    </row>
    <row r="47" spans="1:146" x14ac:dyDescent="0.25">
      <c r="O47" s="36">
        <f>Resources!A46</f>
        <v>0</v>
      </c>
    </row>
    <row r="48" spans="1:146" x14ac:dyDescent="0.25">
      <c r="O48" s="36">
        <f>Resources!A47</f>
        <v>0</v>
      </c>
    </row>
    <row r="49" spans="15:15" x14ac:dyDescent="0.25">
      <c r="O49" s="36">
        <f>Resources!A48</f>
        <v>0</v>
      </c>
    </row>
    <row r="50" spans="15:15" x14ac:dyDescent="0.25">
      <c r="O50" s="36">
        <f>Resources!A49</f>
        <v>0</v>
      </c>
    </row>
    <row r="51" spans="15:15" x14ac:dyDescent="0.25">
      <c r="O51" s="36">
        <f>Resources!A50</f>
        <v>0</v>
      </c>
    </row>
    <row r="52" spans="15:15" x14ac:dyDescent="0.25">
      <c r="O52" s="36">
        <f>Resources!A51</f>
        <v>0</v>
      </c>
    </row>
    <row r="53" spans="15:15" x14ac:dyDescent="0.25">
      <c r="O53" s="36">
        <f>Resources!A52</f>
        <v>0</v>
      </c>
    </row>
    <row r="43472" spans="16:16" x14ac:dyDescent="0.25">
      <c r="P43472" t="s">
        <v>78</v>
      </c>
    </row>
    <row r="43484" spans="30:31" x14ac:dyDescent="0.25">
      <c r="AD43484" t="s">
        <v>68</v>
      </c>
    </row>
    <row r="43486" spans="30:31" x14ac:dyDescent="0.25">
      <c r="AE43486" t="s">
        <v>80</v>
      </c>
    </row>
    <row r="1048576" spans="11:11" x14ac:dyDescent="0.25">
      <c r="K1048576" t="s">
        <v>41</v>
      </c>
    </row>
  </sheetData>
  <mergeCells count="17">
    <mergeCell ref="G20:I20"/>
    <mergeCell ref="D19:I19"/>
    <mergeCell ref="H12:I12"/>
    <mergeCell ref="D15:I17"/>
    <mergeCell ref="H10:I10"/>
    <mergeCell ref="H11:I11"/>
    <mergeCell ref="C1:Q2"/>
    <mergeCell ref="BD14:BE14"/>
    <mergeCell ref="BB3:BG3"/>
    <mergeCell ref="R2:W2"/>
    <mergeCell ref="X2:AA2"/>
    <mergeCell ref="F14:G14"/>
    <mergeCell ref="H6:I6"/>
    <mergeCell ref="H9:I9"/>
    <mergeCell ref="H8:I8"/>
    <mergeCell ref="H7:I7"/>
    <mergeCell ref="H5:I5"/>
  </mergeCells>
  <conditionalFormatting sqref="O4:AU37">
    <cfRule type="expression" dxfId="6" priority="6">
      <formula>$O4=0</formula>
    </cfRule>
  </conditionalFormatting>
  <conditionalFormatting sqref="H14:I14 E4">
    <cfRule type="containsBlanks" dxfId="5" priority="5">
      <formula>LEN(TRIM(E4))=0</formula>
    </cfRule>
  </conditionalFormatting>
  <conditionalFormatting sqref="BG14">
    <cfRule type="containsBlanks" dxfId="4" priority="4">
      <formula>LEN(TRIM(BG14))=0</formula>
    </cfRule>
  </conditionalFormatting>
  <conditionalFormatting sqref="P4:AT37">
    <cfRule type="expression" dxfId="3" priority="1">
      <formula>AND($I$4=DL4,$I$4&lt;&gt;"")</formula>
    </cfRule>
    <cfRule type="expression" dxfId="2" priority="2">
      <formula>AND(DL4&lt;&gt;"",DM4&lt;&gt;"")</formula>
    </cfRule>
    <cfRule type="expression" dxfId="1" priority="3">
      <formula>DL4&lt;&gt;""</formula>
    </cfRule>
  </conditionalFormatting>
  <dataValidations count="4">
    <dataValidation type="list" allowBlank="1" showInputMessage="1" showErrorMessage="1" sqref="I14" xr:uid="{00000000-0002-0000-0000-000000000000}">
      <formula1>"Hours,Days,Weeks"</formula1>
    </dataValidation>
    <dataValidation type="list" allowBlank="1" showInputMessage="1" showErrorMessage="1" sqref="R2:W2" xr:uid="{00000000-0002-0000-0000-000001000000}">
      <formula1>Months</formula1>
    </dataValidation>
    <dataValidation type="list" allowBlank="1" showInputMessage="1" showErrorMessage="1" sqref="X2:AA2" xr:uid="{00000000-0002-0000-0000-000002000000}">
      <formula1>Years</formula1>
    </dataValidation>
    <dataValidation type="list" allowBlank="1" showInputMessage="1" showErrorMessage="1" sqref="H6:I12" xr:uid="{00000000-0002-0000-0000-000003000000}">
      <formula1>Resource_Name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0"/>
  <sheetViews>
    <sheetView zoomScaleNormal="100"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7.5703125" bestFit="1" customWidth="1"/>
    <col min="3" max="3" width="15" bestFit="1" customWidth="1"/>
    <col min="4" max="4" width="9.7109375" style="75" bestFit="1" customWidth="1"/>
    <col min="5" max="5" width="11.140625" bestFit="1" customWidth="1"/>
    <col min="6" max="6" width="14" bestFit="1" customWidth="1"/>
    <col min="7" max="7" width="20.140625" bestFit="1" customWidth="1"/>
    <col min="8" max="8" width="6.140625" bestFit="1" customWidth="1"/>
    <col min="9" max="9" width="9.42578125" bestFit="1" customWidth="1"/>
    <col min="10" max="10" width="9.28515625" style="3" bestFit="1" customWidth="1"/>
    <col min="11" max="11" width="9.7109375" style="82" bestFit="1" customWidth="1"/>
  </cols>
  <sheetData>
    <row r="1" spans="1:11" ht="15.75" thickBot="1" x14ac:dyDescent="0.3">
      <c r="A1" s="107" t="s">
        <v>87</v>
      </c>
      <c r="B1" s="107" t="s">
        <v>60</v>
      </c>
      <c r="C1" s="107" t="s">
        <v>62</v>
      </c>
      <c r="D1" s="108" t="s">
        <v>63</v>
      </c>
      <c r="E1" s="107" t="s">
        <v>64</v>
      </c>
      <c r="F1" s="107" t="s">
        <v>65</v>
      </c>
      <c r="G1" s="107" t="s">
        <v>66</v>
      </c>
      <c r="H1" s="107" t="s">
        <v>84</v>
      </c>
      <c r="I1" s="107" t="s">
        <v>67</v>
      </c>
      <c r="J1" s="107" t="str">
        <f>IFERROR(IF(I1="Days",H1,IF(I1="Weeks",H1*7,H1/24)),"")</f>
        <v/>
      </c>
      <c r="K1" s="108" t="str">
        <f>IFERROR(D1+J1,"")</f>
        <v/>
      </c>
    </row>
    <row r="2" spans="1:11" ht="37.5" x14ac:dyDescent="0.5">
      <c r="A2" s="141" t="s">
        <v>58</v>
      </c>
      <c r="B2" s="142"/>
      <c r="C2" s="142"/>
      <c r="D2" s="142"/>
      <c r="E2" s="142"/>
      <c r="F2" s="142"/>
      <c r="G2" s="142"/>
      <c r="H2" s="142"/>
      <c r="I2" s="142"/>
      <c r="J2" s="142"/>
      <c r="K2" s="143"/>
    </row>
    <row r="3" spans="1:11" x14ac:dyDescent="0.25">
      <c r="A3" s="109" t="s">
        <v>26</v>
      </c>
      <c r="B3" s="110" t="s">
        <v>16</v>
      </c>
      <c r="C3" s="110" t="s">
        <v>61</v>
      </c>
      <c r="D3" s="112" t="s">
        <v>27</v>
      </c>
      <c r="E3" s="110" t="s">
        <v>9</v>
      </c>
      <c r="F3" s="110" t="s">
        <v>28</v>
      </c>
      <c r="G3" s="110" t="s">
        <v>37</v>
      </c>
      <c r="H3" s="110" t="s">
        <v>36</v>
      </c>
      <c r="I3" s="110" t="s">
        <v>34</v>
      </c>
      <c r="J3" s="110" t="s">
        <v>35</v>
      </c>
      <c r="K3" s="111" t="s">
        <v>4</v>
      </c>
    </row>
    <row r="4" spans="1:11" x14ac:dyDescent="0.25">
      <c r="A4" s="3">
        <v>1</v>
      </c>
      <c r="B4" t="s">
        <v>94</v>
      </c>
      <c r="C4" t="s">
        <v>69</v>
      </c>
      <c r="D4" s="75">
        <v>43485</v>
      </c>
      <c r="E4" t="s">
        <v>10</v>
      </c>
      <c r="F4" s="75">
        <v>43495</v>
      </c>
      <c r="G4" t="s">
        <v>74</v>
      </c>
      <c r="H4">
        <v>2</v>
      </c>
      <c r="I4" t="s">
        <v>70</v>
      </c>
      <c r="J4" s="3">
        <f t="shared" ref="J4:J11" si="0">IFERROR(IF(I4="Days",H4,IF(I4="Weeks",H4*7,H4/24)),"")</f>
        <v>14</v>
      </c>
      <c r="K4" s="82">
        <f>IFERROR(D4+J4,"")</f>
        <v>43499</v>
      </c>
    </row>
    <row r="5" spans="1:11" x14ac:dyDescent="0.25">
      <c r="A5" s="3">
        <v>2</v>
      </c>
      <c r="B5" t="s">
        <v>76</v>
      </c>
      <c r="C5" t="s">
        <v>69</v>
      </c>
      <c r="D5" s="75">
        <v>43586</v>
      </c>
      <c r="E5" t="s">
        <v>10</v>
      </c>
      <c r="G5" t="s">
        <v>77</v>
      </c>
      <c r="H5">
        <v>2</v>
      </c>
      <c r="I5" t="s">
        <v>23</v>
      </c>
      <c r="J5" s="3">
        <f t="shared" si="0"/>
        <v>2</v>
      </c>
      <c r="K5" s="82">
        <f t="shared" ref="K5:K11" si="1">IFERROR(D5+J5,"")</f>
        <v>43588</v>
      </c>
    </row>
    <row r="6" spans="1:11" x14ac:dyDescent="0.25">
      <c r="A6" s="3">
        <v>3</v>
      </c>
      <c r="B6" t="s">
        <v>78</v>
      </c>
      <c r="C6" t="s">
        <v>79</v>
      </c>
      <c r="D6" s="75">
        <v>43466</v>
      </c>
      <c r="H6">
        <v>5</v>
      </c>
      <c r="I6" t="s">
        <v>23</v>
      </c>
      <c r="J6" s="105">
        <f t="shared" si="0"/>
        <v>5</v>
      </c>
      <c r="K6" s="106">
        <f t="shared" si="1"/>
        <v>43471</v>
      </c>
    </row>
    <row r="7" spans="1:11" x14ac:dyDescent="0.25">
      <c r="A7" s="3">
        <v>4</v>
      </c>
      <c r="B7" t="s">
        <v>96</v>
      </c>
      <c r="C7" t="s">
        <v>81</v>
      </c>
      <c r="D7" s="75">
        <v>43478</v>
      </c>
      <c r="E7" t="s">
        <v>82</v>
      </c>
      <c r="G7" t="s">
        <v>83</v>
      </c>
      <c r="H7">
        <v>5</v>
      </c>
      <c r="I7" t="s">
        <v>23</v>
      </c>
      <c r="J7" s="105">
        <f t="shared" si="0"/>
        <v>5</v>
      </c>
      <c r="K7" s="106">
        <f t="shared" si="1"/>
        <v>43483</v>
      </c>
    </row>
    <row r="8" spans="1:11" x14ac:dyDescent="0.25">
      <c r="A8" s="3">
        <v>5</v>
      </c>
      <c r="B8" t="s">
        <v>97</v>
      </c>
      <c r="C8" t="s">
        <v>98</v>
      </c>
      <c r="D8" s="75">
        <v>43474</v>
      </c>
      <c r="E8" t="s">
        <v>99</v>
      </c>
      <c r="G8" t="s">
        <v>100</v>
      </c>
      <c r="H8">
        <v>1</v>
      </c>
      <c r="I8" t="s">
        <v>70</v>
      </c>
      <c r="J8" s="105">
        <f t="shared" si="0"/>
        <v>7</v>
      </c>
      <c r="K8" s="106">
        <f t="shared" si="1"/>
        <v>43481</v>
      </c>
    </row>
    <row r="9" spans="1:11" x14ac:dyDescent="0.25">
      <c r="A9" s="3">
        <v>7</v>
      </c>
      <c r="B9" t="s">
        <v>101</v>
      </c>
      <c r="C9" t="s">
        <v>102</v>
      </c>
      <c r="D9" s="75">
        <v>43481</v>
      </c>
      <c r="H9">
        <v>2</v>
      </c>
      <c r="I9" t="s">
        <v>23</v>
      </c>
      <c r="J9" s="105">
        <f t="shared" si="0"/>
        <v>2</v>
      </c>
      <c r="K9" s="106">
        <f t="shared" si="1"/>
        <v>43483</v>
      </c>
    </row>
    <row r="10" spans="1:11" x14ac:dyDescent="0.25">
      <c r="A10" s="3">
        <v>8</v>
      </c>
      <c r="B10" t="s">
        <v>103</v>
      </c>
      <c r="C10" t="s">
        <v>104</v>
      </c>
      <c r="D10" s="75">
        <v>43467</v>
      </c>
      <c r="E10" t="s">
        <v>10</v>
      </c>
      <c r="G10" t="s">
        <v>105</v>
      </c>
      <c r="H10">
        <v>1</v>
      </c>
      <c r="I10" t="s">
        <v>70</v>
      </c>
      <c r="J10" s="105">
        <f t="shared" si="0"/>
        <v>7</v>
      </c>
      <c r="K10" s="106">
        <f t="shared" si="1"/>
        <v>43474</v>
      </c>
    </row>
    <row r="11" spans="1:11" x14ac:dyDescent="0.25">
      <c r="A11" s="3">
        <v>9</v>
      </c>
      <c r="B11" t="s">
        <v>106</v>
      </c>
      <c r="C11" t="s">
        <v>107</v>
      </c>
      <c r="D11" s="75">
        <v>43470</v>
      </c>
      <c r="E11" t="s">
        <v>10</v>
      </c>
      <c r="H11">
        <v>5</v>
      </c>
      <c r="I11" t="s">
        <v>23</v>
      </c>
      <c r="J11" s="3">
        <f t="shared" si="0"/>
        <v>5</v>
      </c>
      <c r="K11" s="82">
        <f t="shared" si="1"/>
        <v>43475</v>
      </c>
    </row>
    <row r="12" spans="1:11" x14ac:dyDescent="0.25">
      <c r="A12" s="3">
        <v>10</v>
      </c>
      <c r="B12" t="s">
        <v>108</v>
      </c>
      <c r="C12" t="s">
        <v>113</v>
      </c>
      <c r="D12" s="75">
        <v>43473</v>
      </c>
      <c r="E12" t="s">
        <v>10</v>
      </c>
      <c r="H12">
        <v>6</v>
      </c>
      <c r="I12" t="s">
        <v>23</v>
      </c>
      <c r="J12" s="3">
        <f>IFERROR(IF(I12="Days",H12,IF(I12="Weeks",H12*7,H12/24)),"")</f>
        <v>6</v>
      </c>
      <c r="K12" s="82">
        <f>IFERROR(D12+J12,"")</f>
        <v>43479</v>
      </c>
    </row>
    <row r="13" spans="1:11" x14ac:dyDescent="0.25">
      <c r="A13" s="3">
        <v>11</v>
      </c>
      <c r="B13" t="s">
        <v>111</v>
      </c>
      <c r="C13" t="s">
        <v>112</v>
      </c>
      <c r="D13" s="75">
        <v>43467</v>
      </c>
      <c r="E13" t="s">
        <v>82</v>
      </c>
      <c r="H13">
        <v>15</v>
      </c>
      <c r="I13" t="s">
        <v>23</v>
      </c>
      <c r="J13" s="3">
        <f>IFERROR(IF(I13="Days",H13,IF(I13="Weeks",H13*7,H13/24)),"")</f>
        <v>15</v>
      </c>
      <c r="K13" s="82">
        <f>IFERROR(D13+J13,"")</f>
        <v>43482</v>
      </c>
    </row>
    <row r="14" spans="1:11" x14ac:dyDescent="0.25">
      <c r="A14" s="3">
        <v>12</v>
      </c>
      <c r="B14" t="s">
        <v>114</v>
      </c>
      <c r="C14" t="s">
        <v>109</v>
      </c>
      <c r="D14" s="75">
        <v>43469</v>
      </c>
      <c r="H14">
        <v>4</v>
      </c>
      <c r="I14" t="s">
        <v>23</v>
      </c>
      <c r="J14" s="3">
        <f>IFERROR(IF(I14="Days",H14,IF(I14="Weeks",H14*7,H14/24)),"")</f>
        <v>4</v>
      </c>
      <c r="K14" s="82">
        <f>IFERROR(D14+J14,"")</f>
        <v>43473</v>
      </c>
    </row>
    <row r="15" spans="1:11" x14ac:dyDescent="0.25">
      <c r="A15" s="3"/>
      <c r="C15" s="3"/>
      <c r="D15"/>
      <c r="E15" s="3"/>
      <c r="G15" s="3"/>
      <c r="I15" s="3"/>
    </row>
    <row r="16" spans="1:11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</sheetData>
  <mergeCells count="1">
    <mergeCell ref="A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2"/>
  <sheetViews>
    <sheetView showGridLines="0" workbookViewId="0">
      <selection activeCell="A3" sqref="A3:XFD3"/>
    </sheetView>
  </sheetViews>
  <sheetFormatPr defaultRowHeight="15" x14ac:dyDescent="0.25"/>
  <cols>
    <col min="1" max="1" width="14.7109375" bestFit="1" customWidth="1"/>
  </cols>
  <sheetData>
    <row r="1" spans="1:9" ht="37.5" customHeight="1" x14ac:dyDescent="0.45">
      <c r="A1" s="144" t="s">
        <v>15</v>
      </c>
      <c r="B1" s="145"/>
      <c r="C1" s="145"/>
      <c r="D1" s="145"/>
      <c r="E1" s="145"/>
      <c r="F1" s="145"/>
      <c r="G1" s="145"/>
      <c r="H1" s="145"/>
      <c r="I1" s="146"/>
    </row>
    <row r="2" spans="1:9" ht="15.75" thickBot="1" x14ac:dyDescent="0.3">
      <c r="A2" s="33" t="s">
        <v>16</v>
      </c>
      <c r="B2" s="34"/>
      <c r="C2" s="34"/>
      <c r="D2" s="34"/>
      <c r="E2" s="34"/>
      <c r="F2" s="34"/>
      <c r="G2" s="34"/>
      <c r="H2" s="34"/>
      <c r="I2" s="35"/>
    </row>
    <row r="3" spans="1:9" x14ac:dyDescent="0.25">
      <c r="A3" s="24" t="s">
        <v>17</v>
      </c>
      <c r="B3" s="25"/>
      <c r="C3" s="25"/>
      <c r="D3" s="25"/>
      <c r="E3" s="25"/>
      <c r="F3" s="25"/>
      <c r="G3" s="25"/>
      <c r="H3" s="25"/>
      <c r="I3" s="26"/>
    </row>
    <row r="4" spans="1:9" x14ac:dyDescent="0.25">
      <c r="A4" s="27" t="s">
        <v>18</v>
      </c>
      <c r="B4" s="28"/>
      <c r="C4" s="28"/>
      <c r="D4" s="28"/>
      <c r="E4" s="28"/>
      <c r="F4" s="28"/>
      <c r="G4" s="28"/>
      <c r="H4" s="28"/>
      <c r="I4" s="29"/>
    </row>
    <row r="5" spans="1:9" x14ac:dyDescent="0.25">
      <c r="A5" s="27" t="s">
        <v>19</v>
      </c>
      <c r="B5" s="28"/>
      <c r="C5" s="28"/>
      <c r="D5" s="28"/>
      <c r="E5" s="28"/>
      <c r="F5" s="28"/>
      <c r="G5" s="28"/>
      <c r="H5" s="28"/>
      <c r="I5" s="29"/>
    </row>
    <row r="6" spans="1:9" x14ac:dyDescent="0.25">
      <c r="A6" s="27" t="s">
        <v>20</v>
      </c>
      <c r="B6" s="28"/>
      <c r="C6" s="28"/>
      <c r="D6" s="28"/>
      <c r="E6" s="28"/>
      <c r="F6" s="28"/>
      <c r="G6" s="28"/>
      <c r="H6" s="28"/>
      <c r="I6" s="29"/>
    </row>
    <row r="7" spans="1:9" x14ac:dyDescent="0.25">
      <c r="A7" s="27" t="s">
        <v>21</v>
      </c>
      <c r="B7" s="28"/>
      <c r="C7" s="28"/>
      <c r="D7" s="28"/>
      <c r="E7" s="28"/>
      <c r="F7" s="28"/>
      <c r="G7" s="28"/>
      <c r="H7" s="28"/>
      <c r="I7" s="29"/>
    </row>
    <row r="8" spans="1:9" x14ac:dyDescent="0.25">
      <c r="A8" s="27" t="s">
        <v>88</v>
      </c>
      <c r="B8" s="28"/>
      <c r="C8" s="28"/>
      <c r="D8" s="28"/>
      <c r="E8" s="28"/>
      <c r="F8" s="28"/>
      <c r="G8" s="28"/>
      <c r="H8" s="28"/>
      <c r="I8" s="29"/>
    </row>
    <row r="9" spans="1:9" x14ac:dyDescent="0.25">
      <c r="A9" s="27" t="s">
        <v>89</v>
      </c>
      <c r="B9" s="28"/>
      <c r="C9" s="28"/>
      <c r="D9" s="28"/>
      <c r="E9" s="28"/>
      <c r="F9" s="28"/>
      <c r="G9" s="28"/>
      <c r="H9" s="28"/>
      <c r="I9" s="29"/>
    </row>
    <row r="10" spans="1:9" x14ac:dyDescent="0.25">
      <c r="A10" s="27" t="s">
        <v>90</v>
      </c>
      <c r="B10" s="28"/>
      <c r="C10" s="28"/>
      <c r="D10" s="28"/>
      <c r="E10" s="28"/>
      <c r="F10" s="28"/>
      <c r="G10" s="28"/>
      <c r="H10" s="28"/>
      <c r="I10" s="29"/>
    </row>
    <row r="11" spans="1:9" x14ac:dyDescent="0.25">
      <c r="A11" s="27" t="s">
        <v>91</v>
      </c>
      <c r="B11" s="28"/>
      <c r="C11" s="28"/>
      <c r="D11" s="28"/>
      <c r="E11" s="28"/>
      <c r="F11" s="28"/>
      <c r="G11" s="28"/>
      <c r="H11" s="28"/>
      <c r="I11" s="29"/>
    </row>
    <row r="12" spans="1:9" x14ac:dyDescent="0.25">
      <c r="A12" s="27" t="s">
        <v>92</v>
      </c>
      <c r="B12" s="28"/>
      <c r="C12" s="28"/>
      <c r="D12" s="28"/>
      <c r="E12" s="28"/>
      <c r="F12" s="28"/>
      <c r="G12" s="28"/>
      <c r="H12" s="28"/>
      <c r="I12" s="29"/>
    </row>
    <row r="13" spans="1:9" x14ac:dyDescent="0.25">
      <c r="A13" s="27" t="s">
        <v>93</v>
      </c>
      <c r="B13" s="28"/>
      <c r="C13" s="28"/>
      <c r="D13" s="28"/>
      <c r="E13" s="28"/>
      <c r="F13" s="28"/>
      <c r="G13" s="28"/>
      <c r="H13" s="28"/>
      <c r="I13" s="29"/>
    </row>
    <row r="14" spans="1:9" x14ac:dyDescent="0.25">
      <c r="A14" s="27" t="s">
        <v>110</v>
      </c>
      <c r="B14" s="28"/>
      <c r="C14" s="28"/>
      <c r="D14" s="28"/>
      <c r="E14" s="28"/>
      <c r="F14" s="28"/>
      <c r="G14" s="28"/>
      <c r="H14" s="28"/>
      <c r="I14" s="29"/>
    </row>
    <row r="15" spans="1:9" x14ac:dyDescent="0.25">
      <c r="A15" s="27"/>
      <c r="B15" s="28"/>
      <c r="C15" s="28"/>
      <c r="D15" s="28"/>
      <c r="E15" s="28"/>
      <c r="F15" s="28"/>
      <c r="G15" s="28"/>
      <c r="H15" s="28"/>
      <c r="I15" s="29"/>
    </row>
    <row r="16" spans="1:9" x14ac:dyDescent="0.25">
      <c r="A16" s="27"/>
      <c r="B16" s="28"/>
      <c r="C16" s="28"/>
      <c r="D16" s="28"/>
      <c r="E16" s="28"/>
      <c r="F16" s="28"/>
      <c r="G16" s="28"/>
      <c r="H16" s="28"/>
      <c r="I16" s="29"/>
    </row>
    <row r="17" spans="1:9" x14ac:dyDescent="0.25">
      <c r="A17" s="27"/>
      <c r="B17" s="28"/>
      <c r="C17" s="28"/>
      <c r="D17" s="28"/>
      <c r="E17" s="28"/>
      <c r="F17" s="28"/>
      <c r="G17" s="28"/>
      <c r="H17" s="28"/>
      <c r="I17" s="29"/>
    </row>
    <row r="18" spans="1:9" x14ac:dyDescent="0.25">
      <c r="A18" s="27"/>
      <c r="B18" s="28"/>
      <c r="C18" s="28"/>
      <c r="D18" s="28"/>
      <c r="E18" s="28"/>
      <c r="F18" s="28"/>
      <c r="G18" s="28"/>
      <c r="H18" s="28"/>
      <c r="I18" s="29"/>
    </row>
    <row r="19" spans="1:9" x14ac:dyDescent="0.25">
      <c r="A19" s="27"/>
      <c r="B19" s="28"/>
      <c r="C19" s="28"/>
      <c r="D19" s="28"/>
      <c r="E19" s="28"/>
      <c r="F19" s="28"/>
      <c r="G19" s="28"/>
      <c r="H19" s="28"/>
      <c r="I19" s="29"/>
    </row>
    <row r="20" spans="1:9" x14ac:dyDescent="0.25">
      <c r="A20" s="27"/>
      <c r="B20" s="28"/>
      <c r="C20" s="28"/>
      <c r="D20" s="28"/>
      <c r="E20" s="28"/>
      <c r="F20" s="28"/>
      <c r="G20" s="28"/>
      <c r="H20" s="28"/>
      <c r="I20" s="29"/>
    </row>
    <row r="21" spans="1:9" x14ac:dyDescent="0.25">
      <c r="A21" s="27"/>
      <c r="B21" s="28"/>
      <c r="C21" s="28"/>
      <c r="D21" s="28"/>
      <c r="E21" s="28"/>
      <c r="F21" s="28"/>
      <c r="G21" s="28"/>
      <c r="H21" s="28"/>
      <c r="I21" s="29"/>
    </row>
    <row r="22" spans="1:9" x14ac:dyDescent="0.25">
      <c r="A22" s="27"/>
      <c r="B22" s="28"/>
      <c r="C22" s="28"/>
      <c r="D22" s="28"/>
      <c r="E22" s="28"/>
      <c r="F22" s="28"/>
      <c r="G22" s="28"/>
      <c r="H22" s="28"/>
      <c r="I22" s="29"/>
    </row>
    <row r="23" spans="1:9" x14ac:dyDescent="0.25">
      <c r="A23" s="27"/>
      <c r="B23" s="28"/>
      <c r="C23" s="28"/>
      <c r="D23" s="28"/>
      <c r="E23" s="28"/>
      <c r="F23" s="28"/>
      <c r="G23" s="28"/>
      <c r="H23" s="28"/>
      <c r="I23" s="29"/>
    </row>
    <row r="24" spans="1:9" x14ac:dyDescent="0.25">
      <c r="A24" s="27"/>
      <c r="B24" s="28"/>
      <c r="C24" s="28"/>
      <c r="D24" s="28"/>
      <c r="E24" s="28"/>
      <c r="F24" s="28"/>
      <c r="G24" s="28"/>
      <c r="H24" s="28"/>
      <c r="I24" s="29"/>
    </row>
    <row r="25" spans="1:9" x14ac:dyDescent="0.25">
      <c r="A25" s="27"/>
      <c r="B25" s="28"/>
      <c r="C25" s="28"/>
      <c r="D25" s="28"/>
      <c r="E25" s="28"/>
      <c r="F25" s="28"/>
      <c r="G25" s="28"/>
      <c r="H25" s="28"/>
      <c r="I25" s="29"/>
    </row>
    <row r="26" spans="1:9" x14ac:dyDescent="0.25">
      <c r="A26" s="27"/>
      <c r="B26" s="28"/>
      <c r="C26" s="28"/>
      <c r="D26" s="28"/>
      <c r="E26" s="28"/>
      <c r="F26" s="28"/>
      <c r="G26" s="28"/>
      <c r="H26" s="28"/>
      <c r="I26" s="29"/>
    </row>
    <row r="27" spans="1:9" x14ac:dyDescent="0.25">
      <c r="A27" s="27"/>
      <c r="B27" s="28"/>
      <c r="C27" s="28"/>
      <c r="D27" s="28"/>
      <c r="E27" s="28"/>
      <c r="F27" s="28"/>
      <c r="G27" s="28"/>
      <c r="H27" s="28"/>
      <c r="I27" s="29"/>
    </row>
    <row r="28" spans="1:9" x14ac:dyDescent="0.25">
      <c r="A28" s="27"/>
      <c r="B28" s="28"/>
      <c r="C28" s="28"/>
      <c r="D28" s="28"/>
      <c r="E28" s="28"/>
      <c r="F28" s="28"/>
      <c r="G28" s="28"/>
      <c r="H28" s="28"/>
      <c r="I28" s="29"/>
    </row>
    <row r="29" spans="1:9" x14ac:dyDescent="0.25">
      <c r="A29" s="27"/>
      <c r="B29" s="28"/>
      <c r="C29" s="28"/>
      <c r="D29" s="28"/>
      <c r="E29" s="28"/>
      <c r="F29" s="28"/>
      <c r="G29" s="28"/>
      <c r="H29" s="28"/>
      <c r="I29" s="29"/>
    </row>
    <row r="30" spans="1:9" x14ac:dyDescent="0.25">
      <c r="A30" s="27"/>
      <c r="B30" s="28"/>
      <c r="C30" s="28"/>
      <c r="D30" s="28"/>
      <c r="E30" s="28"/>
      <c r="F30" s="28"/>
      <c r="G30" s="28"/>
      <c r="H30" s="28"/>
      <c r="I30" s="29"/>
    </row>
    <row r="31" spans="1:9" x14ac:dyDescent="0.25">
      <c r="A31" s="27"/>
      <c r="B31" s="28"/>
      <c r="C31" s="28"/>
      <c r="D31" s="28"/>
      <c r="E31" s="28"/>
      <c r="F31" s="28"/>
      <c r="G31" s="28"/>
      <c r="H31" s="28"/>
      <c r="I31" s="29"/>
    </row>
    <row r="32" spans="1:9" x14ac:dyDescent="0.25">
      <c r="A32" s="27"/>
      <c r="B32" s="28"/>
      <c r="C32" s="28"/>
      <c r="D32" s="28"/>
      <c r="E32" s="28"/>
      <c r="F32" s="28"/>
      <c r="G32" s="28"/>
      <c r="H32" s="28"/>
      <c r="I32" s="29"/>
    </row>
    <row r="33" spans="1:9" x14ac:dyDescent="0.25">
      <c r="A33" s="27"/>
      <c r="B33" s="28"/>
      <c r="C33" s="28"/>
      <c r="D33" s="28"/>
      <c r="E33" s="28"/>
      <c r="F33" s="28"/>
      <c r="G33" s="28"/>
      <c r="H33" s="28"/>
      <c r="I33" s="29"/>
    </row>
    <row r="34" spans="1:9" x14ac:dyDescent="0.25">
      <c r="A34" s="27"/>
      <c r="B34" s="28"/>
      <c r="C34" s="28"/>
      <c r="D34" s="28"/>
      <c r="E34" s="28"/>
      <c r="F34" s="28"/>
      <c r="G34" s="28"/>
      <c r="H34" s="28"/>
      <c r="I34" s="29"/>
    </row>
    <row r="35" spans="1:9" x14ac:dyDescent="0.25">
      <c r="A35" s="27"/>
      <c r="B35" s="28"/>
      <c r="C35" s="28"/>
      <c r="D35" s="28"/>
      <c r="E35" s="28"/>
      <c r="F35" s="28"/>
      <c r="G35" s="28"/>
      <c r="H35" s="28"/>
      <c r="I35" s="29"/>
    </row>
    <row r="36" spans="1:9" x14ac:dyDescent="0.25">
      <c r="A36" s="27"/>
      <c r="B36" s="28"/>
      <c r="C36" s="28"/>
      <c r="D36" s="28"/>
      <c r="E36" s="28"/>
      <c r="F36" s="28"/>
      <c r="G36" s="28"/>
      <c r="H36" s="28"/>
      <c r="I36" s="29"/>
    </row>
    <row r="37" spans="1:9" x14ac:dyDescent="0.25">
      <c r="A37" s="27"/>
      <c r="B37" s="28"/>
      <c r="C37" s="28"/>
      <c r="D37" s="28"/>
      <c r="E37" s="28"/>
      <c r="F37" s="28"/>
      <c r="G37" s="28"/>
      <c r="H37" s="28"/>
      <c r="I37" s="29"/>
    </row>
    <row r="38" spans="1:9" x14ac:dyDescent="0.25">
      <c r="A38" s="27"/>
      <c r="B38" s="28"/>
      <c r="C38" s="28"/>
      <c r="D38" s="28"/>
      <c r="E38" s="28"/>
      <c r="F38" s="28"/>
      <c r="G38" s="28"/>
      <c r="H38" s="28"/>
      <c r="I38" s="29"/>
    </row>
    <row r="39" spans="1:9" x14ac:dyDescent="0.25">
      <c r="A39" s="27"/>
      <c r="B39" s="28"/>
      <c r="C39" s="28"/>
      <c r="D39" s="28"/>
      <c r="E39" s="28"/>
      <c r="F39" s="28"/>
      <c r="G39" s="28"/>
      <c r="H39" s="28"/>
      <c r="I39" s="29"/>
    </row>
    <row r="40" spans="1:9" x14ac:dyDescent="0.25">
      <c r="A40" s="27"/>
      <c r="B40" s="28"/>
      <c r="C40" s="28"/>
      <c r="D40" s="28"/>
      <c r="E40" s="28"/>
      <c r="F40" s="28"/>
      <c r="G40" s="28"/>
      <c r="H40" s="28"/>
      <c r="I40" s="29"/>
    </row>
    <row r="41" spans="1:9" x14ac:dyDescent="0.25">
      <c r="A41" s="27"/>
      <c r="B41" s="28"/>
      <c r="C41" s="28"/>
      <c r="D41" s="28"/>
      <c r="E41" s="28"/>
      <c r="F41" s="28"/>
      <c r="G41" s="28"/>
      <c r="H41" s="28"/>
      <c r="I41" s="29"/>
    </row>
    <row r="42" spans="1:9" x14ac:dyDescent="0.25">
      <c r="A42" s="27"/>
      <c r="B42" s="28"/>
      <c r="C42" s="28"/>
      <c r="D42" s="28"/>
      <c r="E42" s="28"/>
      <c r="F42" s="28"/>
      <c r="G42" s="28"/>
      <c r="H42" s="28"/>
      <c r="I42" s="29"/>
    </row>
    <row r="43" spans="1:9" x14ac:dyDescent="0.25">
      <c r="A43" s="27"/>
      <c r="B43" s="28"/>
      <c r="C43" s="28"/>
      <c r="D43" s="28"/>
      <c r="E43" s="28"/>
      <c r="F43" s="28"/>
      <c r="G43" s="28"/>
      <c r="H43" s="28"/>
      <c r="I43" s="29"/>
    </row>
    <row r="44" spans="1:9" x14ac:dyDescent="0.25">
      <c r="A44" s="27"/>
      <c r="B44" s="28"/>
      <c r="C44" s="28"/>
      <c r="D44" s="28"/>
      <c r="E44" s="28"/>
      <c r="F44" s="28"/>
      <c r="G44" s="28"/>
      <c r="H44" s="28"/>
      <c r="I44" s="29"/>
    </row>
    <row r="45" spans="1:9" x14ac:dyDescent="0.25">
      <c r="A45" s="27"/>
      <c r="B45" s="28"/>
      <c r="C45" s="28"/>
      <c r="D45" s="28"/>
      <c r="E45" s="28"/>
      <c r="F45" s="28"/>
      <c r="G45" s="28"/>
      <c r="H45" s="28"/>
      <c r="I45" s="29"/>
    </row>
    <row r="46" spans="1:9" x14ac:dyDescent="0.25">
      <c r="A46" s="27"/>
      <c r="B46" s="28"/>
      <c r="C46" s="28"/>
      <c r="D46" s="28"/>
      <c r="E46" s="28"/>
      <c r="F46" s="28"/>
      <c r="G46" s="28"/>
      <c r="H46" s="28"/>
      <c r="I46" s="29"/>
    </row>
    <row r="47" spans="1:9" x14ac:dyDescent="0.25">
      <c r="A47" s="27"/>
      <c r="B47" s="28"/>
      <c r="C47" s="28"/>
      <c r="D47" s="28"/>
      <c r="E47" s="28"/>
      <c r="F47" s="28"/>
      <c r="G47" s="28"/>
      <c r="H47" s="28"/>
      <c r="I47" s="29"/>
    </row>
    <row r="48" spans="1:9" x14ac:dyDescent="0.25">
      <c r="A48" s="27"/>
      <c r="B48" s="28"/>
      <c r="C48" s="28"/>
      <c r="D48" s="28"/>
      <c r="E48" s="28"/>
      <c r="F48" s="28"/>
      <c r="G48" s="28"/>
      <c r="H48" s="28"/>
      <c r="I48" s="29"/>
    </row>
    <row r="49" spans="1:9" x14ac:dyDescent="0.25">
      <c r="A49" s="27"/>
      <c r="B49" s="28"/>
      <c r="C49" s="28"/>
      <c r="D49" s="28"/>
      <c r="E49" s="28"/>
      <c r="F49" s="28"/>
      <c r="G49" s="28"/>
      <c r="H49" s="28"/>
      <c r="I49" s="29"/>
    </row>
    <row r="50" spans="1:9" x14ac:dyDescent="0.25">
      <c r="A50" s="27"/>
      <c r="B50" s="28"/>
      <c r="C50" s="28"/>
      <c r="D50" s="28"/>
      <c r="E50" s="28"/>
      <c r="F50" s="28"/>
      <c r="G50" s="28"/>
      <c r="H50" s="28"/>
      <c r="I50" s="29"/>
    </row>
    <row r="51" spans="1:9" x14ac:dyDescent="0.25">
      <c r="A51" s="27"/>
      <c r="B51" s="28"/>
      <c r="C51" s="28"/>
      <c r="D51" s="28"/>
      <c r="E51" s="28"/>
      <c r="F51" s="28"/>
      <c r="G51" s="28"/>
      <c r="H51" s="28"/>
      <c r="I51" s="29"/>
    </row>
    <row r="52" spans="1:9" ht="15.75" thickBot="1" x14ac:dyDescent="0.3">
      <c r="A52" s="30"/>
      <c r="B52" s="31"/>
      <c r="C52" s="31"/>
      <c r="D52" s="31"/>
      <c r="E52" s="31"/>
      <c r="F52" s="31"/>
      <c r="G52" s="31"/>
      <c r="H52" s="31"/>
      <c r="I52" s="32"/>
    </row>
  </sheetData>
  <mergeCells count="1">
    <mergeCell ref="A1:I1"/>
  </mergeCells>
  <conditionalFormatting sqref="A3:I52">
    <cfRule type="expression" dxfId="0" priority="1">
      <formula>AND($A3&lt;&gt;"",MOD(ROW(),2)=0)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6"/>
  <sheetViews>
    <sheetView workbookViewId="0">
      <selection activeCell="A14" sqref="A14:XFD14"/>
    </sheetView>
  </sheetViews>
  <sheetFormatPr defaultRowHeight="15" x14ac:dyDescent="0.25"/>
  <cols>
    <col min="1" max="1" width="6.5703125" style="3" bestFit="1" customWidth="1"/>
    <col min="2" max="2" width="15" bestFit="1" customWidth="1"/>
    <col min="3" max="3" width="17.5703125" bestFit="1" customWidth="1"/>
    <col min="4" max="4" width="9.7109375" style="75" bestFit="1" customWidth="1"/>
    <col min="5" max="5" width="9.7109375" style="75" customWidth="1"/>
    <col min="6" max="7" width="9.140625" style="3"/>
    <col min="8" max="8" width="12.7109375" bestFit="1" customWidth="1"/>
    <col min="9" max="9" width="9.7109375" bestFit="1" customWidth="1"/>
    <col min="10" max="10" width="12.7109375" bestFit="1" customWidth="1"/>
    <col min="13" max="13" width="15" bestFit="1" customWidth="1"/>
    <col min="15" max="15" width="9.7109375" bestFit="1" customWidth="1"/>
    <col min="16" max="16" width="9.7109375" customWidth="1"/>
  </cols>
  <sheetData>
    <row r="1" spans="1:18" ht="26.25" x14ac:dyDescent="0.4">
      <c r="A1" s="147" t="s">
        <v>29</v>
      </c>
      <c r="B1" s="148"/>
      <c r="C1" s="148"/>
      <c r="D1" s="148"/>
      <c r="E1" s="148"/>
      <c r="F1" s="148"/>
      <c r="G1" s="149"/>
      <c r="H1" s="150" t="s">
        <v>72</v>
      </c>
      <c r="I1" s="151"/>
      <c r="J1" s="152"/>
      <c r="L1" s="150" t="s">
        <v>73</v>
      </c>
      <c r="M1" s="151"/>
      <c r="N1" s="151"/>
      <c r="O1" s="151"/>
      <c r="P1" s="151"/>
      <c r="Q1" s="151"/>
      <c r="R1" s="152"/>
    </row>
    <row r="2" spans="1:18" ht="15.75" thickBot="1" x14ac:dyDescent="0.3">
      <c r="A2" s="40" t="s">
        <v>30</v>
      </c>
      <c r="B2" s="41" t="s">
        <v>31</v>
      </c>
      <c r="C2" s="41" t="s">
        <v>86</v>
      </c>
      <c r="D2" s="89" t="s">
        <v>27</v>
      </c>
      <c r="E2" s="89" t="s">
        <v>4</v>
      </c>
      <c r="F2" s="41" t="s">
        <v>85</v>
      </c>
      <c r="G2" s="42" t="s">
        <v>71</v>
      </c>
      <c r="H2" s="83" t="s">
        <v>30</v>
      </c>
      <c r="I2" s="84" t="s">
        <v>27</v>
      </c>
      <c r="J2" s="85" t="s">
        <v>27</v>
      </c>
      <c r="L2" s="94" t="s">
        <v>30</v>
      </c>
      <c r="M2" s="95" t="s">
        <v>31</v>
      </c>
      <c r="N2" s="95" t="s">
        <v>86</v>
      </c>
      <c r="O2" s="95" t="s">
        <v>27</v>
      </c>
      <c r="P2" s="95" t="s">
        <v>4</v>
      </c>
      <c r="Q2" s="95" t="s">
        <v>85</v>
      </c>
      <c r="R2" s="96" t="s">
        <v>71</v>
      </c>
    </row>
    <row r="3" spans="1:18" ht="15.75" thickBot="1" x14ac:dyDescent="0.3">
      <c r="A3" s="78">
        <v>1</v>
      </c>
      <c r="B3" s="39" t="s">
        <v>17</v>
      </c>
      <c r="C3" s="77" t="str">
        <f t="shared" ref="C3:C15" ca="1" si="0">IFERROR(INDEX(Proj_Name,MATCH(A3,Proj_Numb,0),1),"")</f>
        <v>Site Redesign</v>
      </c>
      <c r="D3" s="90">
        <f t="shared" ref="D3:D15" ca="1" si="1">IFERROR(INDEX(Proj_StartDate,MATCH(A3,Proj_Numb,0),1),"")</f>
        <v>43485</v>
      </c>
      <c r="E3" s="90">
        <f t="shared" ref="E3:E15" ca="1" si="2">IFERROR(INDEX(Proj_EndDate,MATCH(A3,Proj_Numb,0),1),"")</f>
        <v>43499</v>
      </c>
      <c r="F3" s="77">
        <f t="shared" ref="F3:F15" ca="1" si="3">IFERROR(MATCH(B3,Resource_Name,0)+2,"")</f>
        <v>3</v>
      </c>
      <c r="G3" s="97">
        <f>ROW()</f>
        <v>3</v>
      </c>
      <c r="H3" s="91"/>
      <c r="I3" s="92" t="str">
        <f>"&gt;="&amp;'Project Manager'!P3</f>
        <v>&gt;=43466</v>
      </c>
      <c r="J3" s="93" t="str">
        <f>"&lt;="&amp;EOMONTH('Project Manager'!P3,0)</f>
        <v>&lt;=43496</v>
      </c>
      <c r="L3" s="78">
        <v>1</v>
      </c>
      <c r="M3" s="39" t="s">
        <v>17</v>
      </c>
      <c r="N3" s="77" t="s">
        <v>94</v>
      </c>
      <c r="O3" s="90">
        <v>43485</v>
      </c>
      <c r="P3" s="90">
        <v>43499</v>
      </c>
      <c r="Q3" s="77">
        <v>3</v>
      </c>
      <c r="R3" s="97">
        <v>3</v>
      </c>
    </row>
    <row r="4" spans="1:18" x14ac:dyDescent="0.25">
      <c r="A4" s="78">
        <v>1</v>
      </c>
      <c r="B4" s="39" t="s">
        <v>18</v>
      </c>
      <c r="C4" s="77" t="str">
        <f t="shared" ca="1" si="0"/>
        <v>Site Redesign</v>
      </c>
      <c r="D4" s="90">
        <f t="shared" ca="1" si="1"/>
        <v>43485</v>
      </c>
      <c r="E4" s="90">
        <f t="shared" ca="1" si="2"/>
        <v>43499</v>
      </c>
      <c r="F4" s="77">
        <f t="shared" ca="1" si="3"/>
        <v>4</v>
      </c>
      <c r="G4" s="97">
        <f>ROW()</f>
        <v>4</v>
      </c>
      <c r="L4" s="78">
        <v>1</v>
      </c>
      <c r="M4" s="39" t="s">
        <v>18</v>
      </c>
      <c r="N4" s="77" t="s">
        <v>94</v>
      </c>
      <c r="O4" s="90">
        <v>43485</v>
      </c>
      <c r="P4" s="90">
        <v>43499</v>
      </c>
      <c r="Q4" s="77">
        <v>4</v>
      </c>
      <c r="R4" s="97">
        <v>4</v>
      </c>
    </row>
    <row r="5" spans="1:18" x14ac:dyDescent="0.25">
      <c r="A5" s="78">
        <v>5</v>
      </c>
      <c r="B5" s="39" t="s">
        <v>19</v>
      </c>
      <c r="C5" s="77" t="str">
        <f t="shared" ca="1" si="0"/>
        <v>Wesite Build</v>
      </c>
      <c r="D5" s="90">
        <f t="shared" ca="1" si="1"/>
        <v>43474</v>
      </c>
      <c r="E5" s="90">
        <f t="shared" ca="1" si="2"/>
        <v>43481</v>
      </c>
      <c r="F5" s="77">
        <f t="shared" ca="1" si="3"/>
        <v>5</v>
      </c>
      <c r="G5" s="97">
        <f>ROW()</f>
        <v>5</v>
      </c>
      <c r="L5" s="78">
        <v>5</v>
      </c>
      <c r="M5" s="39" t="s">
        <v>19</v>
      </c>
      <c r="N5" s="77" t="s">
        <v>97</v>
      </c>
      <c r="O5" s="90">
        <v>43474</v>
      </c>
      <c r="P5" s="90">
        <v>43481</v>
      </c>
      <c r="Q5" s="77">
        <v>5</v>
      </c>
      <c r="R5" s="97">
        <v>5</v>
      </c>
    </row>
    <row r="6" spans="1:18" x14ac:dyDescent="0.25">
      <c r="A6" s="78">
        <v>7</v>
      </c>
      <c r="B6" s="39" t="s">
        <v>18</v>
      </c>
      <c r="C6" s="77" t="str">
        <f t="shared" ca="1" si="0"/>
        <v>Site Speed Up</v>
      </c>
      <c r="D6" s="90">
        <f t="shared" ca="1" si="1"/>
        <v>43481</v>
      </c>
      <c r="E6" s="90">
        <f t="shared" ca="1" si="2"/>
        <v>43483</v>
      </c>
      <c r="F6" s="77">
        <f t="shared" ca="1" si="3"/>
        <v>4</v>
      </c>
      <c r="G6" s="97">
        <f>ROW()</f>
        <v>6</v>
      </c>
      <c r="L6" s="78">
        <v>7</v>
      </c>
      <c r="M6" s="39" t="s">
        <v>18</v>
      </c>
      <c r="N6" s="77" t="s">
        <v>101</v>
      </c>
      <c r="O6" s="90">
        <v>43481</v>
      </c>
      <c r="P6" s="90">
        <v>43483</v>
      </c>
      <c r="Q6" s="77">
        <v>4</v>
      </c>
      <c r="R6" s="97">
        <v>6</v>
      </c>
    </row>
    <row r="7" spans="1:18" x14ac:dyDescent="0.25">
      <c r="A7" s="78">
        <v>5</v>
      </c>
      <c r="B7" s="39" t="s">
        <v>17</v>
      </c>
      <c r="C7" s="77" t="str">
        <f t="shared" ca="1" si="0"/>
        <v>Wesite Build</v>
      </c>
      <c r="D7" s="90">
        <f t="shared" ca="1" si="1"/>
        <v>43474</v>
      </c>
      <c r="E7" s="90">
        <f t="shared" ca="1" si="2"/>
        <v>43481</v>
      </c>
      <c r="F7" s="77">
        <f t="shared" ca="1" si="3"/>
        <v>3</v>
      </c>
      <c r="G7" s="97">
        <f>ROW()</f>
        <v>7</v>
      </c>
      <c r="L7" s="78">
        <v>5</v>
      </c>
      <c r="M7" s="39" t="s">
        <v>17</v>
      </c>
      <c r="N7" s="77" t="s">
        <v>97</v>
      </c>
      <c r="O7" s="90">
        <v>43474</v>
      </c>
      <c r="P7" s="90">
        <v>43481</v>
      </c>
      <c r="Q7" s="77">
        <v>3</v>
      </c>
      <c r="R7" s="97">
        <v>7</v>
      </c>
    </row>
    <row r="8" spans="1:18" x14ac:dyDescent="0.25">
      <c r="A8" s="3">
        <v>9</v>
      </c>
      <c r="B8" t="s">
        <v>90</v>
      </c>
      <c r="C8" s="3" t="str">
        <f t="shared" ca="1" si="0"/>
        <v>New Site &amp; Design</v>
      </c>
      <c r="D8" s="75">
        <f t="shared" ca="1" si="1"/>
        <v>43470</v>
      </c>
      <c r="E8" s="75">
        <f t="shared" ca="1" si="2"/>
        <v>43475</v>
      </c>
      <c r="F8" s="3">
        <f t="shared" ca="1" si="3"/>
        <v>10</v>
      </c>
      <c r="G8" s="3">
        <f>ROW()</f>
        <v>8</v>
      </c>
      <c r="L8" s="3">
        <v>9</v>
      </c>
      <c r="M8" t="s">
        <v>90</v>
      </c>
      <c r="N8" s="3" t="s">
        <v>106</v>
      </c>
      <c r="O8" s="75">
        <v>43470</v>
      </c>
      <c r="P8" s="75">
        <v>43475</v>
      </c>
      <c r="Q8" s="3">
        <v>10</v>
      </c>
      <c r="R8" s="3">
        <v>8</v>
      </c>
    </row>
    <row r="9" spans="1:18" x14ac:dyDescent="0.25">
      <c r="A9" s="3">
        <v>7</v>
      </c>
      <c r="B9" t="s">
        <v>93</v>
      </c>
      <c r="C9" s="3" t="str">
        <f t="shared" ca="1" si="0"/>
        <v>Site Speed Up</v>
      </c>
      <c r="D9" s="75">
        <f t="shared" ca="1" si="1"/>
        <v>43481</v>
      </c>
      <c r="E9" s="75">
        <f t="shared" ca="1" si="2"/>
        <v>43483</v>
      </c>
      <c r="F9" s="3">
        <f t="shared" ca="1" si="3"/>
        <v>13</v>
      </c>
      <c r="G9" s="3">
        <f>ROW()</f>
        <v>9</v>
      </c>
      <c r="L9" s="3">
        <v>7</v>
      </c>
      <c r="M9" t="s">
        <v>93</v>
      </c>
      <c r="N9" s="3" t="s">
        <v>101</v>
      </c>
      <c r="O9" s="75">
        <v>43481</v>
      </c>
      <c r="P9" s="75">
        <v>43483</v>
      </c>
      <c r="Q9" s="3">
        <v>13</v>
      </c>
      <c r="R9" s="3">
        <v>9</v>
      </c>
    </row>
    <row r="10" spans="1:18" x14ac:dyDescent="0.25">
      <c r="A10" s="3">
        <v>8</v>
      </c>
      <c r="B10" t="s">
        <v>91</v>
      </c>
      <c r="C10" s="3" t="str">
        <f t="shared" ca="1" si="0"/>
        <v>Bug Fix Issues</v>
      </c>
      <c r="D10" s="75">
        <f t="shared" ca="1" si="1"/>
        <v>43467</v>
      </c>
      <c r="E10" s="75">
        <f t="shared" ca="1" si="2"/>
        <v>43474</v>
      </c>
      <c r="F10" s="3">
        <f t="shared" ca="1" si="3"/>
        <v>11</v>
      </c>
      <c r="G10" s="3">
        <f>ROW()</f>
        <v>10</v>
      </c>
      <c r="L10" s="3">
        <v>8</v>
      </c>
      <c r="M10" t="s">
        <v>91</v>
      </c>
      <c r="N10" s="3" t="s">
        <v>103</v>
      </c>
      <c r="O10" s="75">
        <v>43467</v>
      </c>
      <c r="P10" s="75">
        <v>43474</v>
      </c>
      <c r="Q10" s="3">
        <v>11</v>
      </c>
      <c r="R10" s="3">
        <v>10</v>
      </c>
    </row>
    <row r="11" spans="1:18" x14ac:dyDescent="0.25">
      <c r="A11" s="3">
        <v>10</v>
      </c>
      <c r="B11" t="s">
        <v>88</v>
      </c>
      <c r="C11" s="3" t="str">
        <f t="shared" ca="1" si="0"/>
        <v>Site Testing</v>
      </c>
      <c r="D11" s="75">
        <f t="shared" ca="1" si="1"/>
        <v>43473</v>
      </c>
      <c r="E11" s="75">
        <f t="shared" ca="1" si="2"/>
        <v>43479</v>
      </c>
      <c r="F11" s="3">
        <f t="shared" ca="1" si="3"/>
        <v>8</v>
      </c>
      <c r="G11" s="3">
        <f>ROW()</f>
        <v>11</v>
      </c>
      <c r="L11" s="3">
        <v>10</v>
      </c>
      <c r="M11" t="s">
        <v>88</v>
      </c>
      <c r="N11" s="3" t="s">
        <v>108</v>
      </c>
      <c r="O11" s="75">
        <v>43473</v>
      </c>
      <c r="P11" s="75">
        <v>43479</v>
      </c>
      <c r="Q11" s="3">
        <v>8</v>
      </c>
      <c r="R11" s="3">
        <v>11</v>
      </c>
    </row>
    <row r="12" spans="1:18" x14ac:dyDescent="0.25">
      <c r="A12" s="3">
        <v>8</v>
      </c>
      <c r="B12" t="s">
        <v>92</v>
      </c>
      <c r="C12" s="3" t="str">
        <f t="shared" ca="1" si="0"/>
        <v>Bug Fix Issues</v>
      </c>
      <c r="D12" s="75">
        <f t="shared" ca="1" si="1"/>
        <v>43467</v>
      </c>
      <c r="E12" s="75">
        <f t="shared" ca="1" si="2"/>
        <v>43474</v>
      </c>
      <c r="F12" s="3">
        <f t="shared" ca="1" si="3"/>
        <v>12</v>
      </c>
      <c r="G12" s="3">
        <f>ROW()</f>
        <v>12</v>
      </c>
      <c r="L12" s="3">
        <v>8</v>
      </c>
      <c r="M12" t="s">
        <v>92</v>
      </c>
      <c r="N12" s="3" t="s">
        <v>103</v>
      </c>
      <c r="O12" s="75">
        <v>43467</v>
      </c>
      <c r="P12" s="75">
        <v>43474</v>
      </c>
      <c r="Q12" s="3">
        <v>12</v>
      </c>
      <c r="R12" s="3">
        <v>12</v>
      </c>
    </row>
    <row r="13" spans="1:18" x14ac:dyDescent="0.25">
      <c r="A13" s="3">
        <v>11</v>
      </c>
      <c r="B13" t="s">
        <v>20</v>
      </c>
      <c r="C13" t="str">
        <f t="shared" ca="1" si="0"/>
        <v>New Website</v>
      </c>
      <c r="D13" s="75">
        <f t="shared" ca="1" si="1"/>
        <v>43467</v>
      </c>
      <c r="E13" s="75">
        <f t="shared" ca="1" si="2"/>
        <v>43482</v>
      </c>
      <c r="F13" s="3">
        <f t="shared" ca="1" si="3"/>
        <v>6</v>
      </c>
      <c r="G13" s="3">
        <f>ROW()</f>
        <v>13</v>
      </c>
      <c r="L13" s="3">
        <v>11</v>
      </c>
      <c r="M13" t="s">
        <v>20</v>
      </c>
      <c r="N13" t="s">
        <v>111</v>
      </c>
      <c r="O13" s="75">
        <v>43467</v>
      </c>
      <c r="P13" s="75">
        <v>43482</v>
      </c>
      <c r="Q13" s="3">
        <v>6</v>
      </c>
      <c r="R13" s="3">
        <v>13</v>
      </c>
    </row>
    <row r="14" spans="1:18" x14ac:dyDescent="0.25">
      <c r="A14" s="3">
        <v>8</v>
      </c>
      <c r="B14" t="s">
        <v>110</v>
      </c>
      <c r="C14" t="str">
        <f t="shared" ca="1" si="0"/>
        <v>Bug Fix Issues</v>
      </c>
      <c r="D14" s="75">
        <f t="shared" ca="1" si="1"/>
        <v>43467</v>
      </c>
      <c r="E14" s="75">
        <f t="shared" ca="1" si="2"/>
        <v>43474</v>
      </c>
      <c r="F14" s="3">
        <f t="shared" ca="1" si="3"/>
        <v>14</v>
      </c>
      <c r="G14" s="3">
        <f>ROW()</f>
        <v>14</v>
      </c>
      <c r="L14" s="3">
        <v>8</v>
      </c>
      <c r="M14" t="s">
        <v>110</v>
      </c>
      <c r="N14" t="s">
        <v>103</v>
      </c>
      <c r="O14" s="75">
        <v>43467</v>
      </c>
      <c r="P14" s="75">
        <v>43474</v>
      </c>
      <c r="Q14" s="3">
        <v>14</v>
      </c>
      <c r="R14" s="3">
        <v>14</v>
      </c>
    </row>
    <row r="15" spans="1:18" x14ac:dyDescent="0.25">
      <c r="A15" s="3">
        <v>12</v>
      </c>
      <c r="B15" t="s">
        <v>21</v>
      </c>
      <c r="C15" t="str">
        <f t="shared" ca="1" si="0"/>
        <v>Website Testing</v>
      </c>
      <c r="D15" s="75">
        <f t="shared" ca="1" si="1"/>
        <v>43469</v>
      </c>
      <c r="E15" s="75">
        <f t="shared" ca="1" si="2"/>
        <v>43473</v>
      </c>
      <c r="F15" s="3">
        <f t="shared" ca="1" si="3"/>
        <v>7</v>
      </c>
      <c r="G15" s="3">
        <f>ROW()</f>
        <v>15</v>
      </c>
      <c r="L15" s="3">
        <v>12</v>
      </c>
      <c r="M15" t="s">
        <v>21</v>
      </c>
      <c r="N15" t="s">
        <v>114</v>
      </c>
      <c r="O15" s="75">
        <v>43469</v>
      </c>
      <c r="P15" s="75">
        <v>43473</v>
      </c>
      <c r="Q15" s="3">
        <v>7</v>
      </c>
      <c r="R15" s="3">
        <v>15</v>
      </c>
    </row>
    <row r="16" spans="1:18" x14ac:dyDescent="0.25">
      <c r="A16" s="3">
        <v>10</v>
      </c>
      <c r="B16" t="s">
        <v>89</v>
      </c>
      <c r="C16" t="str">
        <f ca="1">IFERROR(INDEX(Proj_Name,MATCH(A16,Proj_Numb,0),1),"")</f>
        <v>Site Testing</v>
      </c>
      <c r="D16" s="75">
        <f ca="1">IFERROR(INDEX(Proj_StartDate,MATCH(A16,Proj_Numb,0),1),"")</f>
        <v>43473</v>
      </c>
      <c r="E16" s="75">
        <f ca="1">IFERROR(INDEX(Proj_EndDate,MATCH(A16,Proj_Numb,0),1),"")</f>
        <v>43479</v>
      </c>
      <c r="F16" s="3">
        <f ca="1">IFERROR(MATCH(B16,Resource_Name,0)+2,"")</f>
        <v>9</v>
      </c>
      <c r="G16" s="3">
        <f>ROW()</f>
        <v>16</v>
      </c>
      <c r="L16" s="3">
        <v>10</v>
      </c>
      <c r="M16" t="s">
        <v>89</v>
      </c>
      <c r="N16" t="s">
        <v>108</v>
      </c>
      <c r="O16" s="75">
        <v>43473</v>
      </c>
      <c r="P16" s="75">
        <v>43479</v>
      </c>
      <c r="Q16" s="3">
        <v>9</v>
      </c>
      <c r="R16" s="3">
        <v>16</v>
      </c>
    </row>
  </sheetData>
  <mergeCells count="3">
    <mergeCell ref="A1:G1"/>
    <mergeCell ref="H1:J1"/>
    <mergeCell ref="L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Project Manager</vt:lpstr>
      <vt:lpstr>Project List</vt:lpstr>
      <vt:lpstr>Resources</vt:lpstr>
      <vt:lpstr>Project Resources</vt:lpstr>
      <vt:lpstr>'Project Resources'!Criteria</vt:lpstr>
      <vt:lpstr>'Project Resources'!Extract</vt:lpstr>
      <vt:lpstr>Months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Vongsathit</cp:lastModifiedBy>
  <dcterms:created xsi:type="dcterms:W3CDTF">2019-05-03T08:00:10Z</dcterms:created>
  <dcterms:modified xsi:type="dcterms:W3CDTF">2019-11-29T09:36:57Z</dcterms:modified>
</cp:coreProperties>
</file>